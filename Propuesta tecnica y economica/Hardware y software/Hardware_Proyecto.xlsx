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arrollo" sheetId="1" r:id="rId4"/>
    <sheet state="visible" name="Cliente (2)" sheetId="2" r:id="rId5"/>
    <sheet state="visible" name="Recurso Humano" sheetId="3" r:id="rId6"/>
    <sheet state="visible" name="Gantt" sheetId="4" r:id="rId7"/>
  </sheets>
  <definedNames/>
  <calcPr/>
  <extLst>
    <ext uri="GoogleSheetsCustomDataVersion2">
      <go:sheetsCustomData xmlns:go="http://customooxmlschemas.google.com/" r:id="rId8" roundtripDataChecksum="s/8MRopDLW17cvkgFQpXmFLcyr3MsVBkUuqOVD81dZA="/>
    </ext>
  </extLst>
</workbook>
</file>

<file path=xl/sharedStrings.xml><?xml version="1.0" encoding="utf-8"?>
<sst xmlns="http://schemas.openxmlformats.org/spreadsheetml/2006/main" count="430" uniqueCount="330">
  <si>
    <t>Hardware para el Desarrollador</t>
  </si>
  <si>
    <t>Categoría / Equipo</t>
  </si>
  <si>
    <t>Especificación mínima</t>
  </si>
  <si>
    <t>Especificacion alterna</t>
  </si>
  <si>
    <t>Especificación recomendada</t>
  </si>
  <si>
    <t>Descripcion</t>
  </si>
  <si>
    <t>Precio aprox</t>
  </si>
  <si>
    <t>Laptop básica</t>
  </si>
  <si>
    <t>Intel Core i5, 8 GB RAM, SSD 256 GB.</t>
  </si>
  <si>
    <t xml:space="preserve">Intel Core i5 12th Gen, 16GB RAM, SSD 512GB </t>
  </si>
  <si>
    <t>Intel Core i7 / Ryzen 7, 16–32 GB RAM, SSD 512 GB – 1 TB, tarjeta gráfica RTX 3050 o superior.</t>
  </si>
  <si>
    <t>Equipo principal para programar, compilar y ejecutar entornos de desarrollo. Se recomienda una máquina robusta para soportar entornos virtuales, bases de datos y herramientas pesadas.</t>
  </si>
  <si>
    <t>Pantalla recomendada (monitor de trabajo)</t>
  </si>
  <si>
    <t>19", resolución HD.</t>
  </si>
  <si>
    <t>21.5” Full HD básica</t>
  </si>
  <si>
    <t>24–27", resolución Full HD (1920×1080), conectividad HDMI/DisplayPort, frecuencia 60–75 Hz.</t>
  </si>
  <si>
    <t>Pantalla adicional que permite mejorar la productividad. Ideal contar con dos monitores para multitarea (código en uno, pruebas en otro).</t>
  </si>
  <si>
    <t>Teclado y Mouse</t>
  </si>
  <si>
    <t>Kit básico USB.</t>
  </si>
  <si>
    <t>Kit inalámbrico estándar Logitech/Microsoft</t>
  </si>
  <si>
    <t>Teclado mecánico o ergonómico, mouse óptico inalámbrico.</t>
  </si>
  <si>
    <t>Herramientas esenciales de entrada. Se recomienda ergonómicos para largas jornadas de trabajo y mejorar la comodidad del desarrollador.</t>
  </si>
  <si>
    <t>router</t>
  </si>
  <si>
    <t>Wi-Fi 5 (802.11ac), 300 Mbps</t>
  </si>
  <si>
    <t>Wi-Fi 5 de doble banda</t>
  </si>
  <si>
    <t>Wi-Fi 6 o superior, velocidad 600+ Mbps, bandas múltiples, firewall, QoS, VPN</t>
  </si>
  <si>
    <t>Equipo esencial para conexión estable, rápida y segura, soporta múltiples dispositivos y funciones avanzadas de gestión y seguridad.</t>
  </si>
  <si>
    <t>SSD externo</t>
  </si>
  <si>
    <t>USB 3.0, 256 GB</t>
  </si>
  <si>
    <t>USB 3.1, 512 GB</t>
  </si>
  <si>
    <t>USB 3.2 o Thunderbolt, alta velocidad, 1 TB o más</t>
  </si>
  <si>
    <t>Almacenamiento portátil rápido para copias de seguridad y proyectos grandes, ideal para movilidad y eficiencia sin depender del disco interno.</t>
  </si>
  <si>
    <t>TOTAL</t>
  </si>
  <si>
    <t>Mejor proveedor de hardware</t>
  </si>
  <si>
    <t>por que lo recomendamos?</t>
  </si>
  <si>
    <t>Referencia</t>
  </si>
  <si>
    <t>Precio unitario</t>
  </si>
  <si>
    <t>Cantidad total</t>
  </si>
  <si>
    <t>precio total</t>
  </si>
  <si>
    <t>Un equipo con Intel Core i7 o Ryzen 7, 16–32 GB de RAM y SSD de 512 GB a 1 TB ofrece un rendimiento óptimo para programar y manejar múltiples entornos de desarrollo sin problemas. Ideal para quienes buscan potencia y durabilidad a largo plazo.</t>
  </si>
  <si>
    <t>Es gracias a que  son los mas potentes y recomendados debido a su múltiple uso en ámbitos muy pesados como la multitarea avanzada, cargas intensivas y destaca mucho en tareas de hilo  ya que cuenta con 8 núcleos y 16 hilos lo que mejora el rendimiento en apps Su capacidad gráfica integrada es superior para trabajos de diseño y edición ligeras sin necesidad de una GPU dedicada.</t>
  </si>
  <si>
    <t>InfoComputer:
https://www.info-computer.com/blog/amd-ryzen-7-review-en-espanol-analisis-completo.html</t>
  </si>
  <si>
    <t> Un monitor de 24 a 27 pulgadas con resolución Full HD y conectividad HDMI o DisplayPort proporciona un espacio visual amplio y claro que mejora la productividad y reduce la fatiga visual durante largas jornadas.</t>
  </si>
  <si>
    <t xml:space="preserve">  Es la mejor opción ya que ofrece un equilibrio optimo entre el espacio visual, claridad y la versatilidad ya que permite visualizar múltiples ventanas y líneas de Código simultáneamente reduciendo la necesidad de desplazamiento constante y mejorando la productividad</t>
  </si>
  <si>
    <t>KeepCoding: https://keepcoding.io/blog/mejores-monitores-para-programar/  Lenovo:https://www.lenovo.com/co/es/faqs/monitores-faqs/mejor-monitor-para-trabajar/</t>
  </si>
  <si>
    <t>Un teclado mecánico o ergonómico junto con un ratón óptico aporta comodidad y precisión inalámbrica, elementos clave para mantener la eficiencia y minimizar el cansancio en sesiones prolongadas de programación.</t>
  </si>
  <si>
    <t>Los teclados mecánicos ofrecen una respuesta táctil superior, mayor precisión y durabilidad en comparación con teclados de membrana o USB básicos, lo que reduce la fatiga y mejora la velocidad de escritura en largas jornadas de codificación.</t>
  </si>
  <si>
    <t>Dcreations: https://dcreations.es/completa-tu-setup/teclados/mejores-teclados-para-programar-2025</t>
  </si>
  <si>
    <t>Equipo esencial para conexión estable y rápida, soporta múltiples dispositivos y funciones avanzadas para optimizar y proteger la red.</t>
  </si>
  <si>
    <t>Wi-Fi 6 permite mayor velocidad, mejor gestión de múltiples dispositivos simultáneos (OFDMA, MU-MIMO), menor latencia (hasta un 75% menos) y mejor seguridad. Esto mejora la productividad y experiencia del desarrollador.</t>
  </si>
  <si>
    <t>Intel: https://www.intel.la/content/www/xl/es/gaming/resources/wifi-6.html</t>
  </si>
  <si>
    <t>300.00</t>
  </si>
  <si>
    <t>USB 3.2 o Thunderbolt, alta velocidad, capacidad 1TB o más</t>
  </si>
  <si>
    <t>Alta velocidad de lectura/escritura para acceso rápido a datos y portabilidad para trabajar en diferentes entornos, facilitando flujos de trabajo ágiles y flexibles.</t>
  </si>
  <si>
    <t>profesionalreview: https://www.profesionalreview.com/guias/mejores-ssd-externos/</t>
  </si>
  <si>
    <t>total</t>
  </si>
  <si>
    <t>Software</t>
  </si>
  <si>
    <t>Categoría</t>
  </si>
  <si>
    <t>Opcion 1</t>
  </si>
  <si>
    <t>Opcion recomendada</t>
  </si>
  <si>
    <t>Observaciones</t>
  </si>
  <si>
    <t>precio</t>
  </si>
  <si>
    <t>Sistema Operativo</t>
  </si>
  <si>
    <t>Ubuntu Linux 22.04</t>
  </si>
  <si>
    <t>Windows 11 Home</t>
  </si>
  <si>
    <t>Windows 10 Pro</t>
  </si>
  <si>
    <t>Windows es el mas usado y mas recomendado.</t>
  </si>
  <si>
    <t>IDE de desarrollo</t>
  </si>
  <si>
    <t>Visual Studio Code</t>
  </si>
  <si>
    <t>Eclipse IDE</t>
  </si>
  <si>
    <t>NetBeans para java y php</t>
  </si>
  <si>
    <t>Visual studio code es el mas practico</t>
  </si>
  <si>
    <t>Gratuito</t>
  </si>
  <si>
    <t>Lenguaje Backend</t>
  </si>
  <si>
    <t>PHP</t>
  </si>
  <si>
    <t>Python</t>
  </si>
  <si>
    <t>JAVA</t>
  </si>
  <si>
    <t>Ambos lenguajes son buenos</t>
  </si>
  <si>
    <t>Lenguaje Frontend</t>
  </si>
  <si>
    <t xml:space="preserve">HTML5 , CSS, Boostrap </t>
  </si>
  <si>
    <t>HTML5 + Bootstrap</t>
  </si>
  <si>
    <t>HTML5 + CSS3 + JavaScript</t>
  </si>
  <si>
    <t>Ambas son muy buenas opciones</t>
  </si>
  <si>
    <t>Base de datos</t>
  </si>
  <si>
    <t>MySQL</t>
  </si>
  <si>
    <t>PostgreSQL</t>
  </si>
  <si>
    <t>SQL Server Express</t>
  </si>
  <si>
    <t>MySQL es mas practico</t>
  </si>
  <si>
    <t>Control de versiones</t>
  </si>
  <si>
    <t>Git y GitHub</t>
  </si>
  <si>
    <t>GitLab, Bitbucket</t>
  </si>
  <si>
    <t>Git y GitHub son el estándar actual para gestión de versiones y trabajo colaborativo en desarrollo</t>
  </si>
  <si>
    <t>Herramientas para modelar</t>
  </si>
  <si>
    <t>Draw.io</t>
  </si>
  <si>
    <t>Lucidchart</t>
  </si>
  <si>
    <t>StarUML</t>
  </si>
  <si>
    <t>Draw es mas practico</t>
  </si>
  <si>
    <t>Mejor proveedor de Software</t>
  </si>
  <si>
    <t>Especificador recomendado</t>
  </si>
  <si>
    <t>Descripción</t>
  </si>
  <si>
    <t>¿Por qué lo recomendamos?</t>
  </si>
  <si>
    <t>Cantidad</t>
  </si>
  <si>
    <t>Sistema operativo estable y con funciones avanzadas para usuarios profesionales.</t>
  </si>
  <si>
    <t>Windows es el más usado y recomendado por su compatibilidad y facilidad de uso.</t>
  </si>
  <si>
    <t>TechMyFE,: https://techmyfe.com/los-sistemas-operativos-mas-usados-por-desarrolladores-en-2025-cual-te-conviene-segun-tu-perfil/</t>
  </si>
  <si>
    <t>Código de Visual Studio</t>
  </si>
  <si>
    <t>Editor de código ligero, extensible, con amplio soporte para múltiples lenguajes.</t>
  </si>
  <si>
    <t>VS Code es el más práctico, rápido y con gran comunidad de apoyo.</t>
  </si>
  <si>
    <t>KeepCoding: https://keepcoding.io/blog/mejores-monitores-para-programar/</t>
  </si>
  <si>
    <t>Lenguaje robusto y multiplataforma, muy usado en empresas.</t>
  </si>
  <si>
    <t>JAVA y otros backend son buenos, JAVA por su escalabilidad y rendimiento en aplicaciones empresariales.</t>
  </si>
  <si>
    <t>Documentación y uso general: https://www.back4app.com/tutorials-sp/como-construir-un-backend-para-java</t>
  </si>
  <si>
    <t>Tecnologías base para desarrollo frontend moderno e interactivo.</t>
  </si>
  <si>
    <t>Son las opciones más completas para desarrollar interfaces responsivas y dinámicas.</t>
  </si>
  <si>
    <t>Guías de desarrollo web frontend: https://developer.mozilla.org/es/docs/Learn/Front-end_web_developer</t>
  </si>
  <si>
    <t>Sistema de gestión de base de datos relacional muy usado, con amplia documentación y comunidad.</t>
  </si>
  <si>
    <t>MySQL es práctico, ampliamente soportado y fácil de instalar.</t>
  </si>
  <si>
    <t>Documentación MySQL: https://dev.mysql.com/doc/</t>
  </si>
  <si>
    <t>Sistema distribuido de control de versiones y plataforma colaborativa para proyectos.</t>
  </si>
  <si>
    <t>Estándar actual para desarrollo colaborativo, control de versiones y CI/CD.</t>
  </si>
  <si>
    <t>Nube Colectiva : https://nubecolectiva.com/blog/herramientas-para-desarrolladores-2025/</t>
  </si>
  <si>
    <t>Herramienta gráfica para diagramación de procesos, sistemas y flujos de trabajo.</t>
  </si>
  <si>
    <t>Es la más práctica y accesible para diagramar de forma rápida y compartir fácilmente.</t>
  </si>
  <si>
    <t>Soluciones de visión, Carmatec: https://visuresolutions.com/es/alm-guide/best-mbse-tools-and-solutions/</t>
  </si>
  <si>
    <t>Servidores(Recursos del proyecto)</t>
  </si>
  <si>
    <t>Recurso / Servidor</t>
  </si>
  <si>
    <t>Precio total</t>
  </si>
  <si>
    <t>VPS (Servidor virtual)</t>
  </si>
  <si>
    <t>2 vCPU, 4 GB RAM, 0.5 TB  SSD</t>
  </si>
  <si>
    <t>AWS EC2 instancia t3.medium</t>
  </si>
  <si>
    <t>4–8 vCPU, 16 GB RAM, 1 TB SSD</t>
  </si>
  <si>
    <t>Servidor en la nube para alojar la aplicación y base de datos.</t>
  </si>
  <si>
    <t>$37.000 – $80.000</t>
  </si>
  <si>
    <t>NAS (Almacenamiento</t>
  </si>
  <si>
    <t>1 TB</t>
  </si>
  <si>
    <t>Google Drive / OneDrive</t>
  </si>
  <si>
    <t>2 TB</t>
  </si>
  <si>
    <t>Espacio de almacenamiento para respaldos, logs y archivos del sistema.</t>
  </si>
  <si>
    <t>Licencia Windows Server</t>
  </si>
  <si>
    <t>Standard 2019</t>
  </si>
  <si>
    <t>Ubuntu Server 22.04</t>
  </si>
  <si>
    <t>Última versión (Datacenter si aplica)</t>
  </si>
  <si>
    <t>Sistema operativo para el servidor, necesario si se trabaja con Microsoft.</t>
  </si>
  <si>
    <t>RAM adicional</t>
  </si>
  <si>
    <t>32 GB</t>
  </si>
  <si>
    <t>48GB</t>
  </si>
  <si>
    <t>64 GB</t>
  </si>
  <si>
    <t>Memoria para optimizar rendimiento en servidores con alta carga.</t>
  </si>
  <si>
    <t>Mejor proveedor de servidores</t>
  </si>
  <si>
    <t>Precio unitario (COP)</t>
  </si>
  <si>
    <t>Precio total (COP)</t>
  </si>
  <si>
    <t>4–8 vCPU, 16 GB de RAM, SSD de 1 TB</t>
  </si>
  <si>
    <t>Flexibilidad y escalabilidad para manejar cargas variables, alta disponibilidad y soporte en la nube.</t>
  </si>
  <si>
    <t>AWS EC2 https://aws.amazon.com/ec2/</t>
  </si>
  <si>
    <t>$80.000 / mes</t>
  </si>
  <si>
    <t>NAS (Almacenamiento)</t>
  </si>
  <si>
    <t>Espacio para respaldos, registros y archivos del sistema.</t>
  </si>
  <si>
    <t>Ubicuidad del acceso, seguridad y respaldo conveniente para datos críticos.</t>
  </si>
  <si>
    <t>Google Drive, OneDrive</t>
  </si>
  <si>
    <t>$78.000 / mes</t>
  </si>
  <si>
    <t>Licencia de Windows Server</t>
  </si>
  <si>
    <t>Sistema operativo para servidor, necesario si se trabaja con tecnologías Microsoft.</t>
  </si>
  <si>
    <t>Soporte, seguridad y compatibilidad para infraestructuras Windows de nivel empresarial.</t>
  </si>
  <si>
    <t>Microsoft https://www.microsoft.com/windows-server</t>
  </si>
  <si>
    <t>Memoria para optimizar el rendimiento en servidores con alta carga.</t>
  </si>
  <si>
    <t>Aumenta la capacidad para manejar procesos concurrentes y mejorar tiempos de respuesta.</t>
  </si>
  <si>
    <t>Kingston https://www.kingston.com/</t>
  </si>
  <si>
    <t>Hardware para el Cliente</t>
  </si>
  <si>
    <t>Especificacion alteerna</t>
  </si>
  <si>
    <t>Precio Aprox</t>
  </si>
  <si>
    <t xml:space="preserve">Intel Core i3 / Ryzen 3, 4 GB Ram, HDD/SSD 128 GB, 14" HD </t>
  </si>
  <si>
    <t>Intel Core i3, 8GB RAM, SSD 256GB, 15" HD</t>
  </si>
  <si>
    <t xml:space="preserve">Intel Core i5 / Ryzen 5, 8 GB Ram, SSD 256 GB, 14" FHD (1920×1080) </t>
  </si>
  <si>
    <t>Equipo de entrada para usuarios que solo usan aplicaciones ofimáticas o software ligero.</t>
  </si>
  <si>
    <t>Laptop Cliente Media</t>
  </si>
  <si>
    <t>Intel Core i5 / Ryzen 5, 8 GB Ram, SSD 256 GB, 15.6" FHD (1920×1080)</t>
  </si>
  <si>
    <t>Ryzen 5 5600U, 12GB RAM, SSD 512GB</t>
  </si>
  <si>
    <t>Intel Core i7 / Ryzen 7, 16 GB Ram, SSD 512 GB, 15.6" FHD (1920×1080)</t>
  </si>
  <si>
    <t>Pensada para clientes que requieren mayor rendimiento (bases de datos locales, multitarea, dashboards).</t>
  </si>
  <si>
    <t>Tablet / Smartphone Cliente</t>
  </si>
  <si>
    <t>Android 10 / iOS 14, 3 GB, 32 GB, 6" HD (Smartphone) / 10" HD (Tablet)</t>
  </si>
  <si>
    <t>Android 11 / iOS 15, 4GB RAM, 64GB, 6.5” HD+ / 10” FHD</t>
  </si>
  <si>
    <t>Android 12+ / iOS 16+, 6 GB, 128 GB, 6"–10" FHD</t>
  </si>
  <si>
    <t>Dispositivo móvil para acceso remoto al sistema, pruebas de compatibilidad y movilidad.</t>
  </si>
  <si>
    <t>Pantalla Adicional Cliente</t>
  </si>
  <si>
    <t>19" HD 60 Hz</t>
  </si>
  <si>
    <t>21.5” Full HD 60Hz</t>
  </si>
  <si>
    <t>24" Full HD (1920×1080) 75 Hz</t>
  </si>
  <si>
    <t>Pantalla adicional para mejorar productividad (ej. reportes, dashboards).</t>
  </si>
  <si>
    <t>Conectividad</t>
  </si>
  <si>
    <t>Internet 5 Mbps</t>
  </si>
  <si>
    <t xml:space="preserve"> Internet 7-10 Mbps</t>
  </si>
  <si>
    <t>Internet 10–20 Mbps</t>
  </si>
  <si>
    <t>Requisito para uso fluido.</t>
  </si>
  <si>
    <t>Router</t>
  </si>
  <si>
    <t>Router Ac1200 Dual Band Wirel</t>
  </si>
  <si>
    <t>Router Repetidor Pix Link Lv Wr07</t>
  </si>
  <si>
    <t>Router Gigabit Wifi 6 Dual Band Ax1500, Tp Link Archer Ax12</t>
  </si>
  <si>
    <t>Permite que varios dispositivos compartan una misma conexión, ya sea por cable (Ethernet) o de forma inalámbrica (Wi-Fi).</t>
  </si>
  <si>
    <t>Mejor proveedor de Hardware</t>
  </si>
  <si>
    <t>Precio Unitario</t>
  </si>
  <si>
    <t>Bibliograficas</t>
  </si>
  <si>
    <t>Por que lo recomendamos?</t>
  </si>
  <si>
    <t>Equipo con Intel Core i5 o Ryzen 5, 8 GB RAM y SSD 256 GB, pantalla de 14" Full HD. Ideal para tareas básicas de programación y uso general, con buen equilibrio entre costo y rendimiento.</t>
  </si>
  <si>
    <t>Portatil HP - Intel Core Ultra 5 125H RAM- 8 GB 512 GB</t>
  </si>
  <si>
    <t>Tiene un excelente equilibrio entre rendimiento y precio. Esta laptop ofrece rendimiento suficiente para ejecutar el sistema sin problemas, es económica, y tiene baja curva de mantenimiento, ideal para usuarios no técnicos.</t>
  </si>
  <si>
    <t>Laptop con Intel Core i7 o Ryzen 7, 16 GB RAM, SSD 512 GB, pantalla de 15.6" Full HD. Adecuada para trabajos más exigentes, multitarea y desarrollo avanzado con buena capacidad de almacenamiento y mejor procesador. Es la mejor opción a mediano y largo plazo porque ofrece un balance entre potencia, durabilidad y compatibilidad de software.</t>
  </si>
  <si>
    <t>https://www.exito.com/laptop-gigabyte-156-intel-i7-16gb-ram-rtx-4060-512gb-ssd-103232624-mp/p</t>
  </si>
  <si>
    <t>Esta opción garantiza fluidez, multitarea y mayor vida útil, sin necesidad de invertir en equipos de gama alta.. Ofrece potencia y durabilidad a mediano/largo plazo.</t>
  </si>
  <si>
    <t>Dispositivos con Android 12+ o iOS 16+, 6 GB de RAM, 128 GB de almacenamiento, pantallas de 6" a 10" Full HD. Recomendados para pruebas móviles, desarrollo frontend y acceso remoto.</t>
  </si>
  <si>
    <t>https://www.exito.com/tablet-xiaomi-redmi-pad-se-87-128gb-gr-87-pulgadas-wifi-128-gb-6-gb-ram-gris-3187708/p</t>
  </si>
  <si>
    <t>Muchos clientes necesitan consultar datos o realizar tareas desde el campo, tiendas o fuera de oficina. Se eligieron dispositivos con buena compatibilidad, pantalla clara y sistema actualizado, para asegurar una experiencia fluida.</t>
  </si>
  <si>
    <t>Monitor adicional de 24” Full HD a 75 Hz para mejorar productividad y multitarea, ideal para el entorno laboral del cliente.</t>
  </si>
  <si>
    <t>exito.com | Monitor Curvo Gamer Sceptre De 24'' Pantalla Led Ful | Éxito</t>
  </si>
  <si>
    <t>Porque hay clientes que utilizan multiples pantallas.Una segunda pantalla mejora la productividad, permite visualizar más información y reduce errores por cambio constante de pestañas.</t>
  </si>
  <si>
    <t>Velocidad suficiente para navegación web, videoconferencias y desarrollo remoto básico, adecuada para un entorno de trabajo eficiente sin interrupciones significativas.</t>
  </si>
  <si>
    <t>porque representa un punto óptimo entre costo y funcionalidad para los clientes que van a utilizar el proyecto de software</t>
  </si>
  <si>
    <t>Es un router que ofrece conexión Wi-Fi en dos bandas: 2.4 GHz y 5 GHz, con una velocidad combinada de hasta 1200 Mbps. Está diseñado para brindar una conexión estable y rápida en entornos con varios dispositivos conectados</t>
  </si>
  <si>
    <t>https://www.exito.com/router-ac1200-dual-band-wirel-103462721-mp/p</t>
  </si>
  <si>
    <t>Porque proporciona una conectividad confiable y suficiente para que los clientes usen el software sin interrupciones.</t>
  </si>
  <si>
    <t>Categoria</t>
  </si>
  <si>
    <t>Especificación minima</t>
  </si>
  <si>
    <t>Especificacion Recomendado</t>
  </si>
  <si>
    <t>Navegador Web</t>
  </si>
  <si>
    <t>Google Chrome</t>
  </si>
  <si>
    <t>Opera</t>
  </si>
  <si>
    <t>Firefox / Edge</t>
  </si>
  <si>
    <t>Para acceder al sistema web</t>
  </si>
  <si>
    <t>Aplicación móvi</t>
  </si>
  <si>
    <t>Android 8 (mínimo)</t>
  </si>
  <si>
    <t>Android 10</t>
  </si>
  <si>
    <t>Android 12+</t>
  </si>
  <si>
    <t>Solo si desarrollan app móvil.</t>
  </si>
  <si>
    <t>Sistema operativo en PC</t>
  </si>
  <si>
    <t xml:space="preserve">Windows  </t>
  </si>
  <si>
    <t>Debe de usarse lo mas actual para mejor experiencia</t>
  </si>
  <si>
    <t>Windows 10 Home</t>
  </si>
  <si>
    <t>Ubuntu linux</t>
  </si>
  <si>
    <t xml:space="preserve">Windows 11 Home </t>
  </si>
  <si>
    <t>Para clientes administrativos</t>
  </si>
  <si>
    <t>Precio</t>
  </si>
  <si>
    <t>Referencias</t>
  </si>
  <si>
    <t>Navegadores gratuitos, modernos y seguros, que soportan extensiones y herramientas de desarrollo web, ideales para probar y depurar aplicaciones en diferentes motores de renderizado.</t>
  </si>
  <si>
    <t>Free</t>
  </si>
  <si>
    <t>Estos navegadores son seguros, rápidos, y compatibles con estándares modernos, lo que garantiza que el cliente pueda usar el sistema sin bloqueos, errores o problemas de visualización.</t>
  </si>
  <si>
    <t>Mozilla: .https://www.mozilla.org/firefox/features/</t>
  </si>
  <si>
    <t>Sistema operativo móvil gratuito y ampliamente usado, que permite desarrollar, probar y desplegar aplicaciones para una base amplia de usuarios en plataformas Android modernas.</t>
  </si>
  <si>
    <t>Elegir Android 12+ asegura que la mayoría podrá instalar la app sin problemas, con buena velocidad, seguridad y actualizaciones activas.</t>
  </si>
  <si>
    <t>Android: https://www.android.com/android-12/</t>
  </si>
  <si>
    <t>Versión de Windows gratuita con soporte para la mayoría de aplicaciones de desarrollo y herramientas de productividad, asegurando una experiencia fluida y compatible.</t>
  </si>
  <si>
    <t>Es fácil de usar, compatible con el software, y tiene soporte técnico accesible. Esto reduce la necesidad de capacitación adicional y asegura una experiencia estable.</t>
  </si>
  <si>
    <t>Microsoft: Dhttps://www.microsoft.com/windows/windows-11</t>
  </si>
  <si>
    <t>Recursos Humano</t>
  </si>
  <si>
    <t>Nombre integrante</t>
  </si>
  <si>
    <t>ROL principal</t>
  </si>
  <si>
    <t>Roles Adicionales</t>
  </si>
  <si>
    <t>Funciones</t>
  </si>
  <si>
    <t>Tiempo estimado en meses</t>
  </si>
  <si>
    <t>Costo estimado mensual</t>
  </si>
  <si>
    <t>Costo total aprox</t>
  </si>
  <si>
    <t>Brayan Estiven Patiño Cabrera</t>
  </si>
  <si>
    <t>Lider del Proyecto</t>
  </si>
  <si>
    <t>Desarrollador Backend</t>
  </si>
  <si>
    <t>Coordinar al equipo, planificar y supervisar las entregas, implementar la API y la lógica de negocio</t>
  </si>
  <si>
    <t>Todo el proyecto</t>
  </si>
  <si>
    <t>Juan Camilo Guilombo Osorio</t>
  </si>
  <si>
    <t>Analista</t>
  </si>
  <si>
    <t xml:space="preserve">Desarrollador Frontend </t>
  </si>
  <si>
    <t>Levantar requisitos, elaborar diagramas, apoyar en la construcción de la interfaz del sistema.</t>
  </si>
  <si>
    <t>De 3 a 4 meses</t>
  </si>
  <si>
    <t>Merari Urbano</t>
  </si>
  <si>
    <t>Creador base de datos</t>
  </si>
  <si>
    <t>Documentador</t>
  </si>
  <si>
    <t>Diseñar el modelo de datos, crear y administrar la base de datos, apoyar en la documentación del proyecto.</t>
  </si>
  <si>
    <t>De 2 a 3 meses</t>
  </si>
  <si>
    <t>Brayan, Juan Camilo y merari</t>
  </si>
  <si>
    <t>Desarrollador backend</t>
  </si>
  <si>
    <t>Apoyo en base de datos</t>
  </si>
  <si>
    <t>Implementar la lógica de negocio en el servidor, realizar consultas SQL y colaborar en la integración de la base de datos.</t>
  </si>
  <si>
    <t>Total</t>
  </si>
  <si>
    <t>DRIAGRAMA DE GANTT</t>
  </si>
  <si>
    <t>ÁREAS (COMPETENCIAS)</t>
  </si>
  <si>
    <t>ACTIVIDADES (RAP)</t>
  </si>
  <si>
    <t>ENERO</t>
  </si>
  <si>
    <t>FEBRERO</t>
  </si>
  <si>
    <t>MARZO</t>
  </si>
  <si>
    <t>ABRIL</t>
  </si>
  <si>
    <t>MAYO</t>
  </si>
  <si>
    <t>JUNIO</t>
  </si>
  <si>
    <t>JULIO</t>
  </si>
  <si>
    <t>Especificación de requisitos del software</t>
  </si>
  <si>
    <t>Caracterizar los procesos de la organización de acuerdo con el software a construir.</t>
  </si>
  <si>
    <t>Recolectar información del software a construir de acuerdo con las necesidades del cliente.</t>
  </si>
  <si>
    <t>Establecer los requisitos del software de acuerdo con la información recolectada.</t>
  </si>
  <si>
    <t>Validar el informe de requisitos de acuerdo con las necesidades del cliente.</t>
  </si>
  <si>
    <t>Informe de especificación de requisitos.</t>
  </si>
  <si>
    <t>Análisis de la especificación de requisitos del software.</t>
  </si>
  <si>
    <t>Planear actividades de análisis de acuerdo con la metodología seleccionada.</t>
  </si>
  <si>
    <t>Modelar las funciones del software de acuerdo con  el informe de requisitos.</t>
  </si>
  <si>
    <t>Verificar los modelos realizados en la fase de análisis de acuerdo con lo establecido en el  informe de requisitos.</t>
  </si>
  <si>
    <t>Desarrollar procesos lógicos a través de la implementación de algoritmos.</t>
  </si>
  <si>
    <t>Documentación de análisis del software  (vistas dinámicas del software).</t>
  </si>
  <si>
    <t>Elaboración de la propuesta técnica del software</t>
  </si>
  <si>
    <t>Definir especificaciones técnicas de acuerdo con las características de la solución de software.</t>
  </si>
  <si>
    <t>Elaborar propuesta técnica del software de acuerdo con las especificaciones técnicas definidas</t>
  </si>
  <si>
    <t>Validar las condiciones de la propuesta técnica del software de acuerdo con los intereses de las partes.</t>
  </si>
  <si>
    <t>Documentación de propuesta técnica del software</t>
  </si>
  <si>
    <t>Modelado de los artefactos del software</t>
  </si>
  <si>
    <t>Estructurar el modelo de datos del software de acuerdo con las especificaciones del análisis.</t>
  </si>
  <si>
    <t>Elaborar los artefactos de diseño del software siguiendo las prácticas de la metodología seleccionada.</t>
  </si>
  <si>
    <t>Verificar los entregables de la fase de diseño del software de acuerdo con lo establecido en el  informe de análisis.</t>
  </si>
  <si>
    <t>Artefactos de código (aplicación escritorio, web, móvil)</t>
  </si>
  <si>
    <t>Construcción del software</t>
  </si>
  <si>
    <t xml:space="preserve">Construir la base de datos para el software a partir del modelo de datos. </t>
  </si>
  <si>
    <t xml:space="preserve">Crear componentes front-end del software de acuerdo con el diseño. </t>
  </si>
  <si>
    <t>Planear actividades de construcción del software de acuerdo con el diseño establecido.</t>
  </si>
  <si>
    <t>Codificar el software de acuerdo con el diseño establecido.</t>
  </si>
  <si>
    <t>Realizar pruebas al software para verificar su  funcionalidad.</t>
  </si>
  <si>
    <t>1. Documentación de diseño del software ( Interfaces gráficas, modelo arquitectónico, patrones de diseño, modelo de datos). 2. Documentación de pruebas.</t>
  </si>
  <si>
    <t>Implantación del software.</t>
  </si>
  <si>
    <t>Planear actividades de implantación del software de acuerdo con las condiciones de la solución informática.</t>
  </si>
  <si>
    <t>Desplegar el software de acuerdo con la arquitectura y las políticas establecidas.</t>
  </si>
  <si>
    <t>Documentar el proceso de implantación de software siguiendo estándares de calidad.</t>
  </si>
  <si>
    <t>Implantar el software de acuerdo con los niveles de servicio establecidos con el cliente.</t>
  </si>
  <si>
    <t>1. Procedimiento de implementación del software. 2. Manuales técnico, instalación y usuario final.</t>
  </si>
  <si>
    <t>Adopción de buenas prácticas en el proceso de desarrollo de software.</t>
  </si>
  <si>
    <t>Incorporar actividades de aseguramiento de la calidad del software de acuerdo con estándares de la industria.</t>
  </si>
  <si>
    <t>Verificar la calidad del software de acuerdo con las prácticas asociadas en los procesos de desarrollo.</t>
  </si>
  <si>
    <t>Realizar actividades de mejora de la calidad del software a partir de los resultados de la verificación.</t>
  </si>
  <si>
    <t>Documentación de acciones correctivas, preventivas y de mejoramiento del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</si>
</sst>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\ #,##0;[Red]\-&quot;$&quot;\ #,##0"/>
    <numFmt numFmtId="165" formatCode="&quot;$&quot;#,##0.00"/>
    <numFmt numFmtId="166" formatCode="_-[$$-409]* #,##0.00_ ;_-[$$-409]* \-#,##0.00\ ;_-[$$-409]* &quot;-&quot;??_ ;_-@_ "/>
  </numFmts>
  <fonts count="23">
    <font>
      <sz val="11.0"/>
      <color theme="1"/>
      <name val="Calibri"/>
      <scheme val="minor"/>
    </font>
    <font>
      <b/>
      <sz val="22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Quattrocento Sans"/>
    </font>
    <font>
      <sz val="10.0"/>
      <color theme="1"/>
      <name val="Quattrocento Sans"/>
    </font>
    <font>
      <sz val="12.0"/>
      <color theme="1"/>
      <name val="Calibri"/>
    </font>
    <font>
      <color theme="1"/>
      <name val="Calibri"/>
      <scheme val="minor"/>
    </font>
    <font>
      <sz val="9.0"/>
      <color theme="1"/>
      <name val="Quattrocento Sans"/>
    </font>
    <font>
      <b/>
      <sz val="9.0"/>
      <color theme="1"/>
      <name val="Quattrocento Sans"/>
    </font>
    <font>
      <u/>
      <sz val="11.0"/>
      <color theme="10"/>
      <name val="Calibri"/>
    </font>
    <font>
      <sz val="22.0"/>
      <color theme="1"/>
      <name val="Calibri"/>
    </font>
    <font>
      <sz val="12.0"/>
      <color rgb="FF231F2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000000"/>
      <name val="Calibri"/>
    </font>
    <font>
      <sz val="20.0"/>
      <color rgb="FF000000"/>
      <name val="Calibri"/>
    </font>
    <font>
      <sz val="20.0"/>
      <color theme="0"/>
      <name val="Calibri"/>
    </font>
    <font>
      <sz val="22.0"/>
      <color theme="1"/>
      <name val="Arial"/>
    </font>
    <font>
      <b/>
      <sz val="12.0"/>
      <color theme="1"/>
      <name val="Calibri"/>
    </font>
    <font>
      <sz val="8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32423"/>
        <bgColor rgb="FF632423"/>
      </patternFill>
    </fill>
    <fill>
      <patternFill patternType="solid">
        <fgColor rgb="FFCCC0D9"/>
        <bgColor rgb="FFCCC0D9"/>
      </patternFill>
    </fill>
    <fill>
      <patternFill patternType="solid">
        <fgColor rgb="FF953734"/>
        <bgColor rgb="FF953734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F2DBDB"/>
        <bgColor rgb="FFF2DBDB"/>
      </patternFill>
    </fill>
  </fills>
  <borders count="5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64" xfId="0" applyAlignment="1" applyBorder="1" applyFont="1" applyNumberFormat="1">
      <alignment horizontal="left" shrinkToFit="0" wrapText="1"/>
    </xf>
    <xf borderId="0" fillId="0" fontId="3" numFmtId="0" xfId="0" applyAlignment="1" applyFont="1">
      <alignment shrinkToFit="0" wrapText="1"/>
    </xf>
    <xf borderId="6" fillId="0" fontId="3" numFmtId="0" xfId="0" applyAlignment="1" applyBorder="1" applyFont="1">
      <alignment horizontal="left" shrinkToFit="0" wrapText="1"/>
    </xf>
    <xf borderId="7" fillId="0" fontId="3" numFmtId="0" xfId="0" applyAlignment="1" applyBorder="1" applyFont="1">
      <alignment horizontal="left" shrinkToFit="0" wrapText="1"/>
    </xf>
    <xf borderId="8" fillId="0" fontId="3" numFmtId="0" xfId="0" applyAlignment="1" applyBorder="1" applyFont="1">
      <alignment horizontal="left" shrinkToFit="0" wrapText="1"/>
    </xf>
    <xf borderId="6" fillId="0" fontId="3" numFmtId="164" xfId="0" applyAlignment="1" applyBorder="1" applyFont="1" applyNumberFormat="1">
      <alignment horizontal="left" shrinkToFit="0" wrapText="1"/>
    </xf>
    <xf borderId="5" fillId="0" fontId="5" numFmtId="164" xfId="0" applyAlignment="1" applyBorder="1" applyFont="1" applyNumberFormat="1">
      <alignment horizontal="left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164" xfId="0" applyAlignment="1" applyFont="1" applyNumberFormat="1">
      <alignment horizontal="left" readingOrder="0" shrinkToFit="0" wrapText="1"/>
    </xf>
    <xf borderId="1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5" fillId="0" fontId="3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5" fillId="0" fontId="3" numFmtId="0" xfId="0" applyAlignment="1" applyBorder="1" applyFont="1">
      <alignment shrinkToFit="0" vertical="top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3" numFmtId="0" xfId="0" applyAlignment="1" applyBorder="1" applyFont="1">
      <alignment horizontal="center" vertical="center"/>
    </xf>
    <xf borderId="5" fillId="0" fontId="3" numFmtId="165" xfId="0" applyAlignment="1" applyBorder="1" applyFont="1" applyNumberFormat="1">
      <alignment vertical="center"/>
    </xf>
    <xf borderId="1" fillId="0" fontId="6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shrinkToFit="0" vertical="top" wrapText="1"/>
    </xf>
    <xf borderId="5" fillId="0" fontId="3" numFmtId="0" xfId="0" applyBorder="1" applyFont="1"/>
    <xf borderId="5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shrinkToFit="0" wrapText="1"/>
    </xf>
    <xf borderId="5" fillId="0" fontId="3" numFmtId="0" xfId="0" applyAlignment="1" applyBorder="1" applyFont="1">
      <alignment vertical="center"/>
    </xf>
    <xf borderId="5" fillId="0" fontId="5" numFmtId="0" xfId="0" applyAlignment="1" applyBorder="1" applyFont="1">
      <alignment horizontal="left" shrinkToFit="0" vertical="top" wrapText="1"/>
    </xf>
    <xf borderId="5" fillId="0" fontId="3" numFmtId="3" xfId="0" applyBorder="1" applyFont="1" applyNumberFormat="1"/>
    <xf borderId="0" fillId="0" fontId="8" numFmtId="0" xfId="0" applyAlignment="1" applyFont="1">
      <alignment readingOrder="0"/>
    </xf>
    <xf borderId="0" fillId="0" fontId="8" numFmtId="165" xfId="0" applyFont="1" applyNumberFormat="1"/>
    <xf borderId="5" fillId="0" fontId="9" numFmtId="164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9" numFmtId="164" xfId="0" applyAlignment="1" applyBorder="1" applyFont="1" applyNumberFormat="1">
      <alignment shrinkToFit="0" vertical="center" wrapText="1"/>
    </xf>
    <xf borderId="5" fillId="0" fontId="3" numFmtId="164" xfId="0" applyBorder="1" applyFont="1" applyNumberFormat="1"/>
    <xf borderId="3" fillId="0" fontId="3" numFmtId="0" xfId="0" applyAlignment="1" applyBorder="1" applyFont="1">
      <alignment horizontal="left" shrinkToFit="0" vertical="center" wrapText="1"/>
    </xf>
    <xf borderId="3" fillId="0" fontId="3" numFmtId="164" xfId="0" applyAlignment="1" applyBorder="1" applyFont="1" applyNumberFormat="1">
      <alignment horizontal="left" shrinkToFit="0" vertical="center" wrapText="1"/>
    </xf>
    <xf borderId="5" fillId="0" fontId="10" numFmtId="0" xfId="0" applyAlignment="1" applyBorder="1" applyFont="1">
      <alignment horizontal="left" shrinkToFit="0" vertical="top" wrapText="1"/>
    </xf>
    <xf borderId="5" fillId="0" fontId="11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wrapText="1"/>
    </xf>
    <xf borderId="0" fillId="0" fontId="8" numFmtId="164" xfId="0" applyFont="1" applyNumberFormat="1"/>
    <xf borderId="0" fillId="0" fontId="3" numFmtId="0" xfId="0" applyAlignment="1" applyFont="1">
      <alignment horizontal="left"/>
    </xf>
    <xf borderId="1" fillId="0" fontId="1" numFmtId="0" xfId="0" applyAlignment="1" applyBorder="1" applyFont="1">
      <alignment horizontal="center" vertical="center"/>
    </xf>
    <xf borderId="0" fillId="0" fontId="12" numFmtId="0" xfId="0" applyFont="1"/>
    <xf borderId="5" fillId="0" fontId="3" numFmtId="0" xfId="0" applyAlignment="1" applyBorder="1" applyFont="1">
      <alignment horizontal="left" vertical="center"/>
    </xf>
    <xf borderId="5" fillId="0" fontId="3" numFmtId="166" xfId="0" applyAlignment="1" applyBorder="1" applyFont="1" applyNumberFormat="1">
      <alignment horizontal="left" vertical="center"/>
    </xf>
    <xf borderId="5" fillId="0" fontId="3" numFmtId="166" xfId="0" applyAlignment="1" applyBorder="1" applyFont="1" applyNumberFormat="1">
      <alignment horizontal="left" shrinkToFit="0" vertical="center" wrapText="1"/>
    </xf>
    <xf borderId="6" fillId="0" fontId="3" numFmtId="0" xfId="0" applyAlignment="1" applyBorder="1" applyFont="1">
      <alignment horizontal="left"/>
    </xf>
    <xf borderId="0" fillId="0" fontId="3" numFmtId="166" xfId="0" applyAlignment="1" applyFont="1" applyNumberFormat="1">
      <alignment horizontal="left"/>
    </xf>
    <xf borderId="5" fillId="0" fontId="3" numFmtId="0" xfId="0" applyAlignment="1" applyBorder="1" applyFont="1">
      <alignment horizontal="left"/>
    </xf>
    <xf borderId="1" fillId="0" fontId="13" numFmtId="0" xfId="0" applyAlignment="1" applyBorder="1" applyFont="1">
      <alignment shrinkToFit="0" wrapText="1"/>
    </xf>
    <xf borderId="3" fillId="0" fontId="3" numFmtId="166" xfId="0" applyAlignment="1" applyBorder="1" applyFont="1" applyNumberFormat="1">
      <alignment horizontal="left"/>
    </xf>
    <xf borderId="0" fillId="0" fontId="3" numFmtId="0" xfId="0" applyAlignment="1" applyFont="1">
      <alignment horizontal="left" vertical="top"/>
    </xf>
    <xf borderId="1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2" numFmtId="0" xfId="0" applyBorder="1" applyFont="1"/>
    <xf borderId="9" fillId="0" fontId="3" numFmtId="0" xfId="0" applyAlignment="1" applyBorder="1" applyFont="1">
      <alignment horizontal="left"/>
    </xf>
    <xf borderId="9" fillId="0" fontId="3" numFmtId="0" xfId="0" applyAlignment="1" applyBorder="1" applyFont="1">
      <alignment horizontal="center"/>
    </xf>
    <xf borderId="11" fillId="0" fontId="2" numFmtId="0" xfId="0" applyBorder="1" applyFont="1"/>
    <xf borderId="5" fillId="0" fontId="3" numFmtId="0" xfId="0" applyAlignment="1" applyBorder="1" applyFont="1">
      <alignment horizontal="left" vertical="top"/>
    </xf>
    <xf borderId="5" fillId="0" fontId="3" numFmtId="165" xfId="0" applyAlignment="1" applyBorder="1" applyFont="1" applyNumberFormat="1">
      <alignment horizontal="left" vertical="top"/>
    </xf>
    <xf borderId="1" fillId="0" fontId="14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5" fillId="0" fontId="3" numFmtId="165" xfId="0" applyAlignment="1" applyBorder="1" applyFont="1" applyNumberFormat="1">
      <alignment horizontal="left" shrinkToFit="0" vertical="top" wrapText="1"/>
    </xf>
    <xf borderId="1" fillId="0" fontId="15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horizontal="left" vertical="top"/>
    </xf>
    <xf borderId="6" fillId="0" fontId="3" numFmtId="165" xfId="0" applyAlignment="1" applyBorder="1" applyFont="1" applyNumberFormat="1">
      <alignment horizontal="left" vertical="top"/>
    </xf>
    <xf borderId="7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top"/>
    </xf>
    <xf borderId="5" fillId="0" fontId="16" numFmtId="0" xfId="0" applyAlignment="1" applyBorder="1" applyFont="1">
      <alignment horizontal="left" shrinkToFit="0" wrapText="1"/>
    </xf>
    <xf borderId="1" fillId="0" fontId="17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1" fillId="0" fontId="3" numFmtId="0" xfId="0" applyBorder="1" applyFont="1"/>
    <xf borderId="5" fillId="0" fontId="6" numFmtId="0" xfId="0" applyBorder="1" applyFont="1"/>
    <xf borderId="3" fillId="0" fontId="3" numFmtId="0" xfId="0" applyBorder="1" applyFont="1"/>
    <xf borderId="6" fillId="0" fontId="3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1" fillId="0" fontId="3" numFmtId="0" xfId="0" applyAlignment="1" applyBorder="1" applyFont="1">
      <alignment horizontal="left"/>
    </xf>
    <xf borderId="3" fillId="0" fontId="3" numFmtId="0" xfId="0" applyAlignment="1" applyBorder="1" applyFont="1">
      <alignment horizontal="left"/>
    </xf>
    <xf borderId="7" fillId="0" fontId="18" numFmtId="0" xfId="0" applyAlignment="1" applyBorder="1" applyFont="1">
      <alignment horizontal="center"/>
    </xf>
    <xf borderId="12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5" fillId="0" fontId="4" numFmtId="0" xfId="0" applyAlignment="1" applyBorder="1" applyFont="1">
      <alignment shrinkToFit="0" wrapText="1"/>
    </xf>
    <xf borderId="5" fillId="0" fontId="4" numFmtId="0" xfId="0" applyBorder="1" applyFont="1"/>
    <xf borderId="5" fillId="0" fontId="4" numFmtId="0" xfId="0" applyAlignment="1" applyBorder="1" applyFont="1">
      <alignment vertical="center"/>
    </xf>
    <xf borderId="5" fillId="0" fontId="3" numFmtId="0" xfId="0" applyAlignment="1" applyBorder="1" applyFont="1">
      <alignment shrinkToFit="0" vertical="center" wrapText="1"/>
    </xf>
    <xf borderId="5" fillId="0" fontId="3" numFmtId="3" xfId="0" applyAlignment="1" applyBorder="1" applyFont="1" applyNumberFormat="1">
      <alignment vertical="center"/>
    </xf>
    <xf borderId="5" fillId="0" fontId="3" numFmtId="0" xfId="0" applyAlignment="1" applyBorder="1" applyFont="1">
      <alignment readingOrder="0" vertical="center"/>
    </xf>
    <xf borderId="0" fillId="0" fontId="3" numFmtId="0" xfId="0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/>
    </xf>
    <xf borderId="13" fillId="2" fontId="19" numFmtId="0" xfId="0" applyAlignment="1" applyBorder="1" applyFill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3" fontId="20" numFmtId="0" xfId="0" applyAlignment="1" applyBorder="1" applyFill="1" applyFont="1">
      <alignment horizontal="center" vertical="center"/>
    </xf>
    <xf borderId="17" fillId="3" fontId="20" numFmtId="0" xfId="0" applyAlignment="1" applyBorder="1" applyFont="1">
      <alignment horizontal="center" vertical="center"/>
    </xf>
    <xf borderId="18" fillId="4" fontId="19" numFmtId="0" xfId="0" applyAlignment="1" applyBorder="1" applyFill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5" fontId="21" numFmtId="0" xfId="0" applyAlignment="1" applyBorder="1" applyFill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22" fillId="6" fontId="21" numFmtId="0" xfId="0" applyAlignment="1" applyBorder="1" applyFill="1" applyFont="1">
      <alignment horizontal="center" vertical="center"/>
    </xf>
    <xf borderId="22" fillId="7" fontId="21" numFmtId="0" xfId="0" applyAlignment="1" applyBorder="1" applyFill="1" applyFont="1">
      <alignment horizontal="center" vertical="center"/>
    </xf>
    <xf borderId="22" fillId="8" fontId="21" numFmtId="0" xfId="0" applyAlignment="1" applyBorder="1" applyFill="1" applyFont="1">
      <alignment horizontal="center" vertical="center"/>
    </xf>
    <xf borderId="25" fillId="7" fontId="21" numFmtId="0" xfId="0" applyAlignment="1" applyBorder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8" fillId="5" fontId="21" numFmtId="0" xfId="0" applyAlignment="1" applyBorder="1" applyFont="1">
      <alignment horizontal="center" vertical="center"/>
    </xf>
    <xf borderId="29" fillId="5" fontId="21" numFmtId="0" xfId="0" applyAlignment="1" applyBorder="1" applyFont="1">
      <alignment horizontal="center" vertical="center"/>
    </xf>
    <xf borderId="30" fillId="5" fontId="21" numFmtId="0" xfId="0" applyAlignment="1" applyBorder="1" applyFont="1">
      <alignment horizontal="center" vertical="center"/>
    </xf>
    <xf borderId="28" fillId="6" fontId="21" numFmtId="0" xfId="0" applyAlignment="1" applyBorder="1" applyFont="1">
      <alignment horizontal="center" vertical="center"/>
    </xf>
    <xf borderId="29" fillId="6" fontId="21" numFmtId="0" xfId="0" applyAlignment="1" applyBorder="1" applyFont="1">
      <alignment horizontal="center" vertical="center"/>
    </xf>
    <xf borderId="30" fillId="6" fontId="21" numFmtId="0" xfId="0" applyAlignment="1" applyBorder="1" applyFont="1">
      <alignment horizontal="center" vertical="center"/>
    </xf>
    <xf borderId="28" fillId="7" fontId="21" numFmtId="0" xfId="0" applyAlignment="1" applyBorder="1" applyFont="1">
      <alignment horizontal="center" vertical="center"/>
    </xf>
    <xf borderId="29" fillId="7" fontId="21" numFmtId="0" xfId="0" applyAlignment="1" applyBorder="1" applyFont="1">
      <alignment horizontal="center" vertical="center"/>
    </xf>
    <xf borderId="30" fillId="7" fontId="21" numFmtId="0" xfId="0" applyAlignment="1" applyBorder="1" applyFont="1">
      <alignment horizontal="center" vertical="center"/>
    </xf>
    <xf borderId="28" fillId="8" fontId="21" numFmtId="0" xfId="0" applyAlignment="1" applyBorder="1" applyFont="1">
      <alignment horizontal="center" vertical="center"/>
    </xf>
    <xf borderId="29" fillId="8" fontId="21" numFmtId="0" xfId="0" applyAlignment="1" applyBorder="1" applyFont="1">
      <alignment horizontal="center" vertical="center"/>
    </xf>
    <xf borderId="30" fillId="8" fontId="21" numFmtId="0" xfId="0" applyAlignment="1" applyBorder="1" applyFont="1">
      <alignment horizontal="center" vertical="center"/>
    </xf>
    <xf borderId="31" fillId="7" fontId="21" numFmtId="0" xfId="0" applyAlignment="1" applyBorder="1" applyFont="1">
      <alignment horizontal="center" vertical="center"/>
    </xf>
    <xf borderId="16" fillId="9" fontId="22" numFmtId="0" xfId="0" applyAlignment="1" applyBorder="1" applyFill="1" applyFont="1">
      <alignment horizontal="center" shrinkToFit="0" vertical="center" wrapText="1"/>
    </xf>
    <xf borderId="32" fillId="9" fontId="22" numFmtId="0" xfId="0" applyAlignment="1" applyBorder="1" applyFont="1">
      <alignment shrinkToFit="0" vertical="center" wrapText="1"/>
    </xf>
    <xf borderId="33" fillId="10" fontId="21" numFmtId="0" xfId="0" applyBorder="1" applyFill="1" applyFont="1"/>
    <xf borderId="34" fillId="10" fontId="21" numFmtId="0" xfId="0" applyBorder="1" applyFont="1"/>
    <xf borderId="34" fillId="3" fontId="21" numFmtId="0" xfId="0" applyBorder="1" applyFont="1"/>
    <xf borderId="35" fillId="3" fontId="21" numFmtId="0" xfId="0" applyBorder="1" applyFont="1"/>
    <xf borderId="35" fillId="10" fontId="21" numFmtId="0" xfId="0" applyBorder="1" applyFont="1"/>
    <xf borderId="36" fillId="10" fontId="21" numFmtId="0" xfId="0" applyBorder="1" applyFont="1"/>
    <xf borderId="37" fillId="9" fontId="22" numFmtId="0" xfId="0" applyAlignment="1" applyBorder="1" applyFont="1">
      <alignment horizontal="left" shrinkToFit="0" vertical="center" wrapText="1"/>
    </xf>
    <xf borderId="38" fillId="10" fontId="21" numFmtId="0" xfId="0" applyAlignment="1" applyBorder="1" applyFont="1">
      <alignment horizontal="center" vertical="center"/>
    </xf>
    <xf borderId="5" fillId="10" fontId="21" numFmtId="0" xfId="0" applyAlignment="1" applyBorder="1" applyFont="1">
      <alignment horizontal="center" vertical="center"/>
    </xf>
    <xf borderId="39" fillId="3" fontId="21" numFmtId="0" xfId="0" applyAlignment="1" applyBorder="1" applyFont="1">
      <alignment horizontal="center" vertical="center"/>
    </xf>
    <xf borderId="38" fillId="3" fontId="21" numFmtId="0" xfId="0" applyAlignment="1" applyBorder="1" applyFont="1">
      <alignment horizontal="center" vertical="center"/>
    </xf>
    <xf borderId="39" fillId="10" fontId="21" numFmtId="0" xfId="0" applyAlignment="1" applyBorder="1" applyFont="1">
      <alignment horizontal="center" vertical="center"/>
    </xf>
    <xf borderId="40" fillId="10" fontId="21" numFmtId="0" xfId="0" applyAlignment="1" applyBorder="1" applyFont="1">
      <alignment horizontal="center" vertical="center"/>
    </xf>
    <xf borderId="41" fillId="0" fontId="21" numFmtId="0" xfId="0" applyBorder="1" applyFont="1"/>
    <xf borderId="4" fillId="0" fontId="21" numFmtId="0" xfId="0" applyBorder="1" applyFont="1"/>
    <xf borderId="42" fillId="0" fontId="21" numFmtId="0" xfId="0" applyBorder="1" applyFont="1"/>
    <xf borderId="43" fillId="3" fontId="21" numFmtId="0" xfId="0" applyBorder="1" applyFont="1"/>
    <xf borderId="44" fillId="3" fontId="21" numFmtId="0" xfId="0" applyBorder="1" applyFont="1"/>
    <xf borderId="10" fillId="0" fontId="21" numFmtId="0" xfId="0" applyBorder="1" applyFont="1"/>
    <xf borderId="38" fillId="0" fontId="21" numFmtId="0" xfId="0" applyBorder="1" applyFont="1"/>
    <xf borderId="5" fillId="0" fontId="21" numFmtId="0" xfId="0" applyBorder="1" applyFont="1"/>
    <xf borderId="39" fillId="0" fontId="21" numFmtId="0" xfId="0" applyBorder="1" applyFont="1"/>
    <xf borderId="5" fillId="3" fontId="21" numFmtId="0" xfId="0" applyBorder="1" applyFont="1"/>
    <xf borderId="3" fillId="0" fontId="21" numFmtId="0" xfId="0" applyBorder="1" applyFont="1"/>
    <xf borderId="45" fillId="11" fontId="22" numFmtId="0" xfId="0" applyAlignment="1" applyBorder="1" applyFill="1" applyFont="1">
      <alignment horizontal="left" shrinkToFit="0" vertical="center" wrapText="1"/>
    </xf>
    <xf borderId="46" fillId="0" fontId="21" numFmtId="0" xfId="0" applyBorder="1" applyFont="1"/>
    <xf borderId="47" fillId="0" fontId="21" numFmtId="0" xfId="0" applyBorder="1" applyFont="1"/>
    <xf borderId="48" fillId="0" fontId="21" numFmtId="0" xfId="0" applyBorder="1" applyFont="1"/>
    <xf borderId="47" fillId="3" fontId="21" numFmtId="0" xfId="0" applyBorder="1" applyFont="1"/>
    <xf borderId="49" fillId="0" fontId="21" numFmtId="0" xfId="0" applyBorder="1" applyFont="1"/>
    <xf borderId="16" fillId="12" fontId="22" numFmtId="0" xfId="0" applyAlignment="1" applyBorder="1" applyFill="1" applyFont="1">
      <alignment horizontal="center" shrinkToFit="0" vertical="center" wrapText="1"/>
    </xf>
    <xf borderId="32" fillId="12" fontId="22" numFmtId="0" xfId="0" applyAlignment="1" applyBorder="1" applyFont="1">
      <alignment horizontal="left" shrinkToFit="0" vertical="center" wrapText="1"/>
    </xf>
    <xf borderId="33" fillId="0" fontId="21" numFmtId="0" xfId="0" applyBorder="1" applyFont="1"/>
    <xf borderId="34" fillId="0" fontId="21" numFmtId="0" xfId="0" applyBorder="1" applyFont="1"/>
    <xf borderId="35" fillId="0" fontId="21" numFmtId="0" xfId="0" applyBorder="1" applyFont="1"/>
    <xf borderId="50" fillId="0" fontId="21" numFmtId="0" xfId="0" applyBorder="1" applyFont="1"/>
    <xf borderId="37" fillId="12" fontId="22" numFmtId="0" xfId="0" applyAlignment="1" applyBorder="1" applyFont="1">
      <alignment shrinkToFit="0" vertical="center" wrapText="1"/>
    </xf>
    <xf borderId="39" fillId="3" fontId="21" numFmtId="0" xfId="0" applyBorder="1" applyFont="1"/>
    <xf borderId="38" fillId="3" fontId="21" numFmtId="0" xfId="0" applyBorder="1" applyFont="1"/>
    <xf borderId="38" fillId="0" fontId="21" numFmtId="0" xfId="0" applyAlignment="1" applyBorder="1" applyFont="1">
      <alignment horizontal="center"/>
    </xf>
    <xf borderId="5" fillId="0" fontId="21" numFmtId="0" xfId="0" applyAlignment="1" applyBorder="1" applyFont="1">
      <alignment horizontal="center"/>
    </xf>
    <xf borderId="39" fillId="0" fontId="21" numFmtId="0" xfId="0" applyAlignment="1" applyBorder="1" applyFont="1">
      <alignment horizontal="center"/>
    </xf>
    <xf borderId="5" fillId="3" fontId="21" numFmtId="0" xfId="0" applyAlignment="1" applyBorder="1" applyFont="1">
      <alignment horizontal="center"/>
    </xf>
    <xf borderId="32" fillId="12" fontId="22" numFmtId="0" xfId="0" applyAlignment="1" applyBorder="1" applyFont="1">
      <alignment shrinkToFit="0" vertical="center" wrapText="1"/>
    </xf>
    <xf borderId="51" fillId="0" fontId="21" numFmtId="0" xfId="0" applyBorder="1" applyFont="1"/>
    <xf borderId="52" fillId="0" fontId="21" numFmtId="0" xfId="0" applyBorder="1" applyFont="1"/>
    <xf borderId="53" fillId="0" fontId="21" numFmtId="0" xfId="0" applyBorder="1" applyFont="1"/>
    <xf borderId="54" fillId="3" fontId="21" numFmtId="0" xfId="0" applyBorder="1" applyFont="1"/>
    <xf borderId="55" fillId="0" fontId="21" numFmtId="0" xfId="0" applyBorder="1" applyFont="1"/>
    <xf borderId="38" fillId="0" fontId="7" numFmtId="0" xfId="0" applyBorder="1" applyFont="1"/>
    <xf borderId="5" fillId="0" fontId="7" numFmtId="0" xfId="0" applyBorder="1" applyFont="1"/>
    <xf borderId="39" fillId="0" fontId="7" numFmtId="0" xfId="0" applyBorder="1" applyFont="1"/>
    <xf borderId="5" fillId="3" fontId="7" numFmtId="0" xfId="0" applyBorder="1" applyFont="1"/>
    <xf borderId="3" fillId="0" fontId="7" numFmtId="0" xfId="0" applyBorder="1" applyFont="1"/>
    <xf borderId="37" fillId="12" fontId="22" numFmtId="0" xfId="0" applyAlignment="1" applyBorder="1" applyFont="1">
      <alignment horizontal="left" shrinkToFit="0" vertical="center" wrapText="1"/>
    </xf>
    <xf borderId="39" fillId="3" fontId="7" numFmtId="0" xfId="0" applyBorder="1" applyFont="1"/>
    <xf borderId="46" fillId="0" fontId="7" numFmtId="0" xfId="0" applyBorder="1" applyFont="1"/>
    <xf borderId="47" fillId="0" fontId="7" numFmtId="0" xfId="0" applyBorder="1" applyFont="1"/>
    <xf borderId="48" fillId="0" fontId="7" numFmtId="0" xfId="0" applyBorder="1" applyFont="1"/>
    <xf borderId="48" fillId="3" fontId="7" numFmtId="0" xfId="0" applyBorder="1" applyFont="1"/>
    <xf borderId="49" fillId="0" fontId="7" numFmtId="0" xfId="0" applyBorder="1" applyFont="1"/>
    <xf borderId="33" fillId="0" fontId="7" numFmtId="0" xfId="0" applyBorder="1" applyFont="1"/>
    <xf borderId="34" fillId="0" fontId="7" numFmtId="0" xfId="0" applyBorder="1" applyFont="1"/>
    <xf borderId="35" fillId="0" fontId="7" numFmtId="0" xfId="0" applyBorder="1" applyFont="1"/>
    <xf borderId="33" fillId="3" fontId="7" numFmtId="0" xfId="0" applyBorder="1" applyFont="1"/>
    <xf borderId="50" fillId="0" fontId="7" numFmtId="0" xfId="0" applyBorder="1" applyFont="1"/>
    <xf borderId="38" fillId="0" fontId="3" numFmtId="0" xfId="0" applyBorder="1" applyFont="1"/>
    <xf borderId="39" fillId="0" fontId="3" numFmtId="0" xfId="0" applyBorder="1" applyFont="1"/>
    <xf borderId="38" fillId="3" fontId="3" numFmtId="0" xfId="0" applyBorder="1" applyFont="1"/>
    <xf borderId="5" fillId="3" fontId="3" numFmtId="0" xfId="0" applyBorder="1" applyFont="1"/>
    <xf borderId="39" fillId="3" fontId="3" numFmtId="0" xfId="0" applyBorder="1" applyFont="1"/>
    <xf borderId="40" fillId="3" fontId="3" numFmtId="0" xfId="0" applyBorder="1" applyFont="1"/>
    <xf borderId="45" fillId="11" fontId="22" numFmtId="0" xfId="0" applyAlignment="1" applyBorder="1" applyFont="1">
      <alignment shrinkToFit="0" vertical="center" wrapText="1"/>
    </xf>
    <xf borderId="46" fillId="0" fontId="3" numFmtId="0" xfId="0" applyBorder="1" applyFont="1"/>
    <xf borderId="47" fillId="0" fontId="3" numFmtId="0" xfId="0" applyBorder="1" applyFont="1"/>
    <xf borderId="48" fillId="0" fontId="3" numFmtId="0" xfId="0" applyBorder="1" applyFont="1"/>
    <xf borderId="48" fillId="3" fontId="3" numFmtId="0" xfId="0" applyBorder="1" applyFont="1"/>
    <xf borderId="56" fillId="3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36" fillId="3" fontId="3" numFmtId="0" xfId="0" applyBorder="1" applyFont="1"/>
    <xf borderId="49" fillId="0" fontId="3" numFmtId="0" xfId="0" applyBorder="1" applyFont="1"/>
    <xf borderId="47" fillId="3" fontId="3" numFmtId="0" xfId="0" applyBorder="1" applyFont="1"/>
    <xf borderId="33" fillId="3" fontId="3" numFmtId="0" xfId="0" applyBorder="1" applyFont="1"/>
    <xf borderId="34" fillId="3" fontId="3" numFmtId="0" xfId="0" applyBorder="1" applyFont="1"/>
    <xf borderId="35" fillId="3" fontId="3" numFmtId="0" xfId="0" applyBorder="1" applyFont="1"/>
    <xf borderId="46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ws.amazon.com/ec2/" TargetMode="External"/><Relationship Id="rId2" Type="http://schemas.openxmlformats.org/officeDocument/2006/relationships/hyperlink" Target="https://www.microsoft.com/windows-server" TargetMode="External"/><Relationship Id="rId3" Type="http://schemas.openxmlformats.org/officeDocument/2006/relationships/hyperlink" Target="https://www.kingston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xito.com/computador-hp-intel-core-ultra-5-ultra-125h-ram-8-gb-512-gb-ssd-14-ep1001la-3176331/p" TargetMode="External"/><Relationship Id="rId2" Type="http://schemas.openxmlformats.org/officeDocument/2006/relationships/hyperlink" Target="https://www.exito.com/laptop-gigabyte-156-intel-i7-16gb-ram-rtx-4060-512gb-ssd-103232624-mp/p" TargetMode="External"/><Relationship Id="rId3" Type="http://schemas.openxmlformats.org/officeDocument/2006/relationships/hyperlink" Target="https://www.exito.com/tablet-xiaomi-redmi-pad-se-87-128gb-gr-87-pulgadas-wifi-128-gb-6-gb-ram-gris-3187708/p" TargetMode="External"/><Relationship Id="rId4" Type="http://schemas.openxmlformats.org/officeDocument/2006/relationships/hyperlink" Target="https://www.exito.com/monitor-curvo-gamer-sceptre-de-24-pantalla-led-fullhd-de-1080p-hdmi-displayport-vga-altavoces-integrados-color-negro-104541281-mp/p" TargetMode="External"/><Relationship Id="rId5" Type="http://schemas.openxmlformats.org/officeDocument/2006/relationships/hyperlink" Target="https://www.exito.com/router-ac1200-dual-band-wirel-103462721-mp/p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86"/>
    <col customWidth="1" min="2" max="2" width="37.43"/>
    <col customWidth="1" min="3" max="3" width="34.86"/>
    <col customWidth="1" min="4" max="4" width="28.71"/>
    <col customWidth="1" min="5" max="5" width="49.57"/>
    <col customWidth="1" min="6" max="6" width="34.71"/>
    <col customWidth="1" min="7" max="7" width="12.71"/>
    <col customWidth="1" min="8" max="8" width="17.0"/>
    <col customWidth="1" min="9" max="9" width="13.71"/>
    <col customWidth="1" min="10" max="26" width="8.86"/>
  </cols>
  <sheetData>
    <row r="1" ht="40.5" customHeight="1">
      <c r="A1" s="1" t="s">
        <v>0</v>
      </c>
      <c r="B1" s="2"/>
      <c r="C1" s="2"/>
      <c r="D1" s="2"/>
      <c r="E1" s="2"/>
      <c r="F1" s="3"/>
      <c r="G1" s="4"/>
    </row>
    <row r="2" ht="37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/>
    </row>
    <row r="3" ht="14.25" customHeight="1">
      <c r="A3" s="6" t="s">
        <v>7</v>
      </c>
      <c r="B3" s="6" t="s">
        <v>8</v>
      </c>
      <c r="C3" s="6" t="s">
        <v>9</v>
      </c>
      <c r="D3" s="6" t="s">
        <v>10</v>
      </c>
      <c r="E3" s="7" t="s">
        <v>11</v>
      </c>
      <c r="F3" s="8">
        <v>5500000.0</v>
      </c>
      <c r="G3" s="9"/>
    </row>
    <row r="4" ht="14.25" customHeight="1">
      <c r="A4" s="6" t="s">
        <v>12</v>
      </c>
      <c r="B4" s="6" t="s">
        <v>13</v>
      </c>
      <c r="C4" s="10" t="s">
        <v>14</v>
      </c>
      <c r="D4" s="6" t="s">
        <v>15</v>
      </c>
      <c r="E4" s="6" t="s">
        <v>16</v>
      </c>
      <c r="F4" s="8">
        <v>700000.0</v>
      </c>
      <c r="G4" s="9"/>
    </row>
    <row r="5" ht="14.25" customHeight="1">
      <c r="A5" s="10" t="s">
        <v>17</v>
      </c>
      <c r="B5" s="11" t="s">
        <v>18</v>
      </c>
      <c r="C5" s="10" t="s">
        <v>19</v>
      </c>
      <c r="D5" s="12" t="s">
        <v>20</v>
      </c>
      <c r="E5" s="10" t="s">
        <v>21</v>
      </c>
      <c r="F5" s="13">
        <v>200000.0</v>
      </c>
      <c r="G5" s="9"/>
    </row>
    <row r="6" ht="14.25" customHeight="1">
      <c r="A6" s="6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8">
        <v>300000.0</v>
      </c>
      <c r="G6" s="9"/>
    </row>
    <row r="7" ht="14.25" customHeight="1">
      <c r="A7" s="6" t="s">
        <v>27</v>
      </c>
      <c r="B7" s="6" t="s">
        <v>28</v>
      </c>
      <c r="C7" s="6" t="s">
        <v>29</v>
      </c>
      <c r="D7" s="6" t="s">
        <v>30</v>
      </c>
      <c r="E7" s="6" t="s">
        <v>31</v>
      </c>
      <c r="F7" s="14">
        <v>400000.0</v>
      </c>
      <c r="G7" s="9"/>
    </row>
    <row r="8" ht="14.25" customHeight="1">
      <c r="A8" s="15"/>
      <c r="B8" s="15"/>
      <c r="C8" s="15"/>
      <c r="D8" s="15"/>
      <c r="E8" s="16" t="s">
        <v>32</v>
      </c>
      <c r="F8" s="17">
        <f>SUM(F3:F7)</f>
        <v>7100000</v>
      </c>
      <c r="G8" s="9"/>
    </row>
    <row r="9" ht="14.25" customHeight="1"/>
    <row r="10" ht="14.25" customHeight="1"/>
    <row r="11" ht="14.25" customHeight="1">
      <c r="A11" s="18" t="s">
        <v>33</v>
      </c>
      <c r="B11" s="2"/>
      <c r="C11" s="2"/>
      <c r="D11" s="2"/>
      <c r="E11" s="2"/>
      <c r="F11" s="2"/>
      <c r="G11" s="2"/>
      <c r="H11" s="2"/>
      <c r="I11" s="3"/>
    </row>
    <row r="12" ht="14.25" customHeight="1">
      <c r="A12" s="19" t="s">
        <v>1</v>
      </c>
      <c r="B12" s="19" t="s">
        <v>4</v>
      </c>
      <c r="C12" s="20" t="s">
        <v>5</v>
      </c>
      <c r="D12" s="3"/>
      <c r="E12" s="21" t="s">
        <v>34</v>
      </c>
      <c r="F12" s="19" t="s">
        <v>35</v>
      </c>
      <c r="G12" s="19" t="s">
        <v>36</v>
      </c>
      <c r="H12" s="22" t="s">
        <v>37</v>
      </c>
      <c r="I12" s="22" t="s">
        <v>38</v>
      </c>
      <c r="J12" s="23"/>
    </row>
    <row r="13" ht="14.25" customHeight="1">
      <c r="A13" s="24" t="s">
        <v>7</v>
      </c>
      <c r="B13" s="24" t="s">
        <v>10</v>
      </c>
      <c r="C13" s="25" t="s">
        <v>39</v>
      </c>
      <c r="D13" s="3"/>
      <c r="E13" s="26" t="s">
        <v>40</v>
      </c>
      <c r="F13" s="27" t="s">
        <v>41</v>
      </c>
      <c r="G13" s="28">
        <v>5500000.0</v>
      </c>
      <c r="H13" s="29">
        <v>4.0</v>
      </c>
      <c r="I13" s="30">
        <f t="shared" ref="I13:I15" si="1">G13*H13</f>
        <v>22000000</v>
      </c>
    </row>
    <row r="14" ht="14.25" customHeight="1">
      <c r="A14" s="24" t="s">
        <v>12</v>
      </c>
      <c r="B14" s="24" t="s">
        <v>15</v>
      </c>
      <c r="C14" s="31" t="s">
        <v>42</v>
      </c>
      <c r="D14" s="3"/>
      <c r="E14" s="32" t="s">
        <v>43</v>
      </c>
      <c r="F14" s="27" t="s">
        <v>44</v>
      </c>
      <c r="G14" s="28">
        <v>700000.0</v>
      </c>
      <c r="H14" s="29">
        <v>4.0</v>
      </c>
      <c r="I14" s="30">
        <f t="shared" si="1"/>
        <v>2800000</v>
      </c>
    </row>
    <row r="15" ht="14.25" customHeight="1">
      <c r="A15" s="24" t="s">
        <v>17</v>
      </c>
      <c r="B15" s="33" t="s">
        <v>20</v>
      </c>
      <c r="C15" s="34" t="s">
        <v>45</v>
      </c>
      <c r="D15" s="3"/>
      <c r="E15" s="35" t="s">
        <v>46</v>
      </c>
      <c r="F15" s="27" t="s">
        <v>47</v>
      </c>
      <c r="G15" s="28">
        <v>200000.0</v>
      </c>
      <c r="H15" s="29">
        <v>4.0</v>
      </c>
      <c r="I15" s="30">
        <f t="shared" si="1"/>
        <v>800000</v>
      </c>
    </row>
    <row r="16" ht="14.25" customHeight="1">
      <c r="A16" s="36" t="s">
        <v>22</v>
      </c>
      <c r="B16" s="37" t="s">
        <v>25</v>
      </c>
      <c r="C16" s="38" t="s">
        <v>48</v>
      </c>
      <c r="D16" s="3"/>
      <c r="E16" s="24" t="s">
        <v>49</v>
      </c>
      <c r="F16" s="39" t="s">
        <v>50</v>
      </c>
      <c r="G16" s="40" t="s">
        <v>51</v>
      </c>
      <c r="H16" s="29">
        <v>1.0</v>
      </c>
      <c r="I16" s="30">
        <v>300000.0</v>
      </c>
    </row>
    <row r="17" ht="14.25" customHeight="1">
      <c r="A17" s="36" t="s">
        <v>27</v>
      </c>
      <c r="B17" s="24" t="s">
        <v>52</v>
      </c>
      <c r="C17" s="38" t="s">
        <v>31</v>
      </c>
      <c r="D17" s="3"/>
      <c r="E17" s="41" t="s">
        <v>53</v>
      </c>
      <c r="F17" s="37" t="s">
        <v>54</v>
      </c>
      <c r="G17" s="42">
        <v>400000.0</v>
      </c>
      <c r="H17" s="36">
        <v>4.0</v>
      </c>
      <c r="I17" s="30">
        <f>G17*H17</f>
        <v>1600000</v>
      </c>
    </row>
    <row r="18" ht="14.25" customHeight="1">
      <c r="F18" s="9"/>
      <c r="G18" s="9"/>
      <c r="H18" s="43" t="s">
        <v>55</v>
      </c>
      <c r="I18" s="44">
        <f>SUM(I13:I17)</f>
        <v>27500000</v>
      </c>
    </row>
    <row r="19" ht="14.25" customHeight="1">
      <c r="F19" s="9"/>
      <c r="G19" s="9"/>
    </row>
    <row r="20" ht="14.25" customHeight="1">
      <c r="F20" s="9"/>
      <c r="G20" s="9"/>
    </row>
    <row r="21" ht="29.25" customHeight="1">
      <c r="A21" s="1" t="s">
        <v>56</v>
      </c>
      <c r="B21" s="2"/>
      <c r="C21" s="2"/>
      <c r="D21" s="2"/>
      <c r="E21" s="2"/>
      <c r="F21" s="3"/>
      <c r="G21" s="9"/>
    </row>
    <row r="22" ht="14.25" customHeight="1">
      <c r="A22" s="19" t="s">
        <v>57</v>
      </c>
      <c r="B22" s="19" t="s">
        <v>58</v>
      </c>
      <c r="C22" s="19" t="s">
        <v>3</v>
      </c>
      <c r="D22" s="19" t="s">
        <v>59</v>
      </c>
      <c r="E22" s="19" t="s">
        <v>60</v>
      </c>
      <c r="F22" s="19" t="s">
        <v>61</v>
      </c>
      <c r="G22" s="9"/>
    </row>
    <row r="23" ht="14.25" customHeight="1">
      <c r="A23" s="6" t="s">
        <v>62</v>
      </c>
      <c r="B23" s="6" t="s">
        <v>63</v>
      </c>
      <c r="C23" s="6" t="s">
        <v>64</v>
      </c>
      <c r="D23" s="6" t="s">
        <v>65</v>
      </c>
      <c r="E23" s="6" t="s">
        <v>66</v>
      </c>
      <c r="F23" s="45">
        <v>400000.0</v>
      </c>
      <c r="G23" s="9"/>
    </row>
    <row r="24" ht="14.25" customHeight="1">
      <c r="A24" s="6" t="s">
        <v>67</v>
      </c>
      <c r="B24" s="6" t="s">
        <v>68</v>
      </c>
      <c r="C24" s="6" t="s">
        <v>69</v>
      </c>
      <c r="D24" s="6" t="s">
        <v>70</v>
      </c>
      <c r="E24" s="6" t="s">
        <v>71</v>
      </c>
      <c r="F24" s="46" t="s">
        <v>72</v>
      </c>
      <c r="G24" s="9"/>
    </row>
    <row r="25" ht="14.25" customHeight="1">
      <c r="A25" s="6" t="s">
        <v>73</v>
      </c>
      <c r="B25" s="6" t="s">
        <v>74</v>
      </c>
      <c r="C25" s="6" t="s">
        <v>75</v>
      </c>
      <c r="D25" s="6" t="s">
        <v>76</v>
      </c>
      <c r="E25" s="6" t="s">
        <v>77</v>
      </c>
      <c r="F25" s="46" t="s">
        <v>72</v>
      </c>
      <c r="G25" s="9"/>
    </row>
    <row r="26" ht="14.25" customHeight="1">
      <c r="A26" s="6" t="s">
        <v>78</v>
      </c>
      <c r="B26" s="6" t="s">
        <v>79</v>
      </c>
      <c r="C26" s="6" t="s">
        <v>80</v>
      </c>
      <c r="D26" s="6" t="s">
        <v>81</v>
      </c>
      <c r="E26" s="6" t="s">
        <v>82</v>
      </c>
      <c r="F26" s="46" t="s">
        <v>72</v>
      </c>
      <c r="G26" s="9"/>
    </row>
    <row r="27" ht="14.25" customHeight="1">
      <c r="A27" s="6" t="s">
        <v>83</v>
      </c>
      <c r="B27" s="6" t="s">
        <v>84</v>
      </c>
      <c r="C27" s="6" t="s">
        <v>85</v>
      </c>
      <c r="D27" s="6" t="s">
        <v>86</v>
      </c>
      <c r="E27" s="6" t="s">
        <v>87</v>
      </c>
      <c r="F27" s="46" t="s">
        <v>72</v>
      </c>
      <c r="G27" s="9"/>
    </row>
    <row r="28" ht="14.25" customHeight="1">
      <c r="A28" s="6" t="s">
        <v>88</v>
      </c>
      <c r="B28" s="6" t="s">
        <v>89</v>
      </c>
      <c r="C28" s="6" t="s">
        <v>90</v>
      </c>
      <c r="D28" s="6" t="s">
        <v>89</v>
      </c>
      <c r="E28" s="6" t="s">
        <v>91</v>
      </c>
      <c r="F28" s="46" t="s">
        <v>72</v>
      </c>
      <c r="G28" s="9"/>
    </row>
    <row r="29" ht="14.25" customHeight="1">
      <c r="A29" s="6" t="s">
        <v>92</v>
      </c>
      <c r="B29" s="6" t="s">
        <v>93</v>
      </c>
      <c r="C29" s="6" t="s">
        <v>94</v>
      </c>
      <c r="D29" s="6" t="s">
        <v>95</v>
      </c>
      <c r="E29" s="6" t="s">
        <v>96</v>
      </c>
      <c r="F29" s="46" t="s">
        <v>72</v>
      </c>
    </row>
    <row r="30" ht="14.25" customHeight="1"/>
    <row r="31" ht="14.25" customHeight="1"/>
    <row r="32" ht="14.25" customHeight="1"/>
    <row r="33" ht="14.25" customHeight="1">
      <c r="A33" s="20" t="s">
        <v>97</v>
      </c>
      <c r="B33" s="2"/>
      <c r="C33" s="2"/>
      <c r="D33" s="2"/>
      <c r="E33" s="2"/>
      <c r="F33" s="2"/>
      <c r="G33" s="2"/>
      <c r="H33" s="3"/>
    </row>
    <row r="34" ht="35.25" customHeight="1">
      <c r="A34" s="47" t="s">
        <v>57</v>
      </c>
      <c r="B34" s="47" t="s">
        <v>98</v>
      </c>
      <c r="C34" s="47" t="s">
        <v>99</v>
      </c>
      <c r="D34" s="47" t="s">
        <v>100</v>
      </c>
      <c r="E34" s="47" t="s">
        <v>35</v>
      </c>
      <c r="F34" s="47" t="s">
        <v>36</v>
      </c>
      <c r="G34" s="47" t="s">
        <v>101</v>
      </c>
      <c r="H34" s="47" t="s">
        <v>38</v>
      </c>
    </row>
    <row r="35" ht="39.75" customHeight="1">
      <c r="A35" s="48" t="s">
        <v>62</v>
      </c>
      <c r="B35" s="48" t="s">
        <v>65</v>
      </c>
      <c r="C35" s="48" t="s">
        <v>102</v>
      </c>
      <c r="D35" s="48" t="s">
        <v>103</v>
      </c>
      <c r="E35" s="48" t="s">
        <v>104</v>
      </c>
      <c r="F35" s="49">
        <v>400000.0</v>
      </c>
      <c r="G35" s="48">
        <v>1.0</v>
      </c>
      <c r="H35" s="50">
        <f t="shared" ref="H35:H41" si="2">F35</f>
        <v>400000</v>
      </c>
    </row>
    <row r="36" ht="27.0" customHeight="1">
      <c r="A36" s="48" t="s">
        <v>67</v>
      </c>
      <c r="B36" s="48" t="s">
        <v>105</v>
      </c>
      <c r="C36" s="48" t="s">
        <v>106</v>
      </c>
      <c r="D36" s="48" t="s">
        <v>107</v>
      </c>
      <c r="E36" s="48" t="s">
        <v>108</v>
      </c>
      <c r="F36" s="48" t="s">
        <v>72</v>
      </c>
      <c r="G36" s="48">
        <v>1.0</v>
      </c>
      <c r="H36" s="50" t="str">
        <f t="shared" si="2"/>
        <v>Gratuito</v>
      </c>
    </row>
    <row r="37" ht="26.25" customHeight="1">
      <c r="A37" s="48" t="s">
        <v>73</v>
      </c>
      <c r="B37" s="48" t="s">
        <v>76</v>
      </c>
      <c r="C37" s="48" t="s">
        <v>109</v>
      </c>
      <c r="D37" s="48" t="s">
        <v>110</v>
      </c>
      <c r="E37" s="48" t="s">
        <v>111</v>
      </c>
      <c r="F37" s="48" t="s">
        <v>72</v>
      </c>
      <c r="G37" s="48">
        <v>1.0</v>
      </c>
      <c r="H37" s="50" t="str">
        <f t="shared" si="2"/>
        <v>Gratuito</v>
      </c>
    </row>
    <row r="38" ht="14.25" customHeight="1">
      <c r="A38" s="48" t="s">
        <v>78</v>
      </c>
      <c r="B38" s="48" t="s">
        <v>81</v>
      </c>
      <c r="C38" s="48" t="s">
        <v>112</v>
      </c>
      <c r="D38" s="48" t="s">
        <v>113</v>
      </c>
      <c r="E38" s="48" t="s">
        <v>114</v>
      </c>
      <c r="F38" s="48" t="s">
        <v>72</v>
      </c>
      <c r="G38" s="48">
        <v>1.0</v>
      </c>
      <c r="H38" s="50" t="str">
        <f t="shared" si="2"/>
        <v>Gratuito</v>
      </c>
    </row>
    <row r="39" ht="14.25" customHeight="1">
      <c r="A39" s="48" t="s">
        <v>83</v>
      </c>
      <c r="B39" s="48" t="s">
        <v>84</v>
      </c>
      <c r="C39" s="48" t="s">
        <v>115</v>
      </c>
      <c r="D39" s="48" t="s">
        <v>116</v>
      </c>
      <c r="E39" s="48" t="s">
        <v>117</v>
      </c>
      <c r="F39" s="48" t="s">
        <v>72</v>
      </c>
      <c r="G39" s="48">
        <v>1.0</v>
      </c>
      <c r="H39" s="50" t="str">
        <f t="shared" si="2"/>
        <v>Gratuito</v>
      </c>
    </row>
    <row r="40" ht="14.25" customHeight="1">
      <c r="A40" s="48" t="s">
        <v>88</v>
      </c>
      <c r="B40" s="48" t="s">
        <v>89</v>
      </c>
      <c r="C40" s="48" t="s">
        <v>118</v>
      </c>
      <c r="D40" s="48" t="s">
        <v>119</v>
      </c>
      <c r="E40" s="48" t="s">
        <v>120</v>
      </c>
      <c r="F40" s="48" t="s">
        <v>72</v>
      </c>
      <c r="G40" s="48">
        <v>1.0</v>
      </c>
      <c r="H40" s="50" t="str">
        <f t="shared" si="2"/>
        <v>Gratuito</v>
      </c>
    </row>
    <row r="41" ht="14.25" customHeight="1">
      <c r="A41" s="48" t="s">
        <v>92</v>
      </c>
      <c r="B41" s="48" t="s">
        <v>93</v>
      </c>
      <c r="C41" s="48" t="s">
        <v>121</v>
      </c>
      <c r="D41" s="48" t="s">
        <v>122</v>
      </c>
      <c r="E41" s="48" t="s">
        <v>123</v>
      </c>
      <c r="F41" s="48" t="s">
        <v>72</v>
      </c>
      <c r="G41" s="48">
        <v>1.0</v>
      </c>
      <c r="H41" s="50" t="str">
        <f t="shared" si="2"/>
        <v>Gratuito</v>
      </c>
    </row>
    <row r="42" ht="14.25" customHeight="1">
      <c r="G42" s="9"/>
    </row>
    <row r="43" ht="14.25" customHeight="1">
      <c r="G43" s="9"/>
    </row>
    <row r="44" ht="14.25" customHeight="1">
      <c r="G44" s="9"/>
    </row>
    <row r="45" ht="14.25" customHeight="1">
      <c r="A45" s="20" t="s">
        <v>124</v>
      </c>
      <c r="B45" s="2"/>
      <c r="C45" s="2"/>
      <c r="D45" s="2"/>
      <c r="E45" s="2"/>
      <c r="F45" s="3"/>
      <c r="G45" s="9"/>
    </row>
    <row r="46" ht="14.25" customHeight="1">
      <c r="A46" s="19" t="s">
        <v>125</v>
      </c>
      <c r="B46" s="19" t="s">
        <v>2</v>
      </c>
      <c r="C46" s="19" t="s">
        <v>3</v>
      </c>
      <c r="D46" s="19" t="s">
        <v>4</v>
      </c>
      <c r="E46" s="19" t="s">
        <v>99</v>
      </c>
      <c r="F46" s="21" t="s">
        <v>126</v>
      </c>
      <c r="G46" s="9"/>
    </row>
    <row r="47" ht="14.25" customHeight="1">
      <c r="A47" s="7" t="s">
        <v>127</v>
      </c>
      <c r="B47" s="7" t="s">
        <v>128</v>
      </c>
      <c r="C47" s="6" t="s">
        <v>129</v>
      </c>
      <c r="D47" s="7" t="s">
        <v>130</v>
      </c>
      <c r="E47" s="7" t="s">
        <v>131</v>
      </c>
      <c r="F47" s="51" t="s">
        <v>132</v>
      </c>
      <c r="G47" s="9"/>
    </row>
    <row r="48" ht="14.25" customHeight="1">
      <c r="A48" s="7" t="s">
        <v>133</v>
      </c>
      <c r="B48" s="7" t="s">
        <v>134</v>
      </c>
      <c r="C48" s="6" t="s">
        <v>135</v>
      </c>
      <c r="D48" s="7" t="s">
        <v>136</v>
      </c>
      <c r="E48" s="7" t="s">
        <v>137</v>
      </c>
      <c r="F48" s="52">
        <v>78000.0</v>
      </c>
      <c r="G48" s="9"/>
    </row>
    <row r="49" ht="14.25" customHeight="1">
      <c r="A49" s="7" t="s">
        <v>138</v>
      </c>
      <c r="B49" s="7" t="s">
        <v>139</v>
      </c>
      <c r="C49" s="6" t="s">
        <v>140</v>
      </c>
      <c r="D49" s="7" t="s">
        <v>141</v>
      </c>
      <c r="E49" s="7" t="s">
        <v>142</v>
      </c>
      <c r="F49" s="52">
        <v>33000.0</v>
      </c>
      <c r="G49" s="9"/>
    </row>
    <row r="50" ht="14.25" customHeight="1">
      <c r="A50" s="7" t="s">
        <v>143</v>
      </c>
      <c r="B50" s="7" t="s">
        <v>144</v>
      </c>
      <c r="C50" s="7" t="s">
        <v>145</v>
      </c>
      <c r="D50" s="7" t="s">
        <v>146</v>
      </c>
      <c r="E50" s="7" t="s">
        <v>147</v>
      </c>
      <c r="F50" s="52">
        <v>82000.0</v>
      </c>
    </row>
    <row r="51" ht="14.25" customHeight="1"/>
    <row r="52" ht="14.25" customHeight="1"/>
    <row r="53" ht="14.25" customHeight="1"/>
    <row r="54" ht="14.25" customHeight="1">
      <c r="A54" s="20" t="s">
        <v>148</v>
      </c>
      <c r="B54" s="2"/>
      <c r="C54" s="2"/>
      <c r="D54" s="2"/>
      <c r="E54" s="2"/>
      <c r="F54" s="2"/>
      <c r="G54" s="3"/>
      <c r="H54" s="36"/>
    </row>
    <row r="55" ht="33.0" customHeight="1">
      <c r="A55" s="47" t="s">
        <v>1</v>
      </c>
      <c r="B55" s="47" t="s">
        <v>98</v>
      </c>
      <c r="C55" s="47" t="s">
        <v>99</v>
      </c>
      <c r="D55" s="47" t="s">
        <v>100</v>
      </c>
      <c r="E55" s="47" t="s">
        <v>35</v>
      </c>
      <c r="F55" s="47" t="s">
        <v>149</v>
      </c>
      <c r="G55" s="47" t="s">
        <v>101</v>
      </c>
      <c r="H55" s="53" t="s">
        <v>150</v>
      </c>
    </row>
    <row r="56" ht="14.25" customHeight="1">
      <c r="A56" s="48" t="s">
        <v>127</v>
      </c>
      <c r="B56" s="48" t="s">
        <v>151</v>
      </c>
      <c r="C56" s="48" t="s">
        <v>131</v>
      </c>
      <c r="D56" s="48" t="s">
        <v>152</v>
      </c>
      <c r="E56" s="54" t="s">
        <v>153</v>
      </c>
      <c r="F56" s="46" t="s">
        <v>154</v>
      </c>
      <c r="G56" s="46">
        <v>1.0</v>
      </c>
      <c r="H56" s="45">
        <v>80000.0</v>
      </c>
    </row>
    <row r="57" ht="14.25" customHeight="1">
      <c r="A57" s="48" t="s">
        <v>155</v>
      </c>
      <c r="B57" s="48" t="s">
        <v>136</v>
      </c>
      <c r="C57" s="48" t="s">
        <v>156</v>
      </c>
      <c r="D57" s="48" t="s">
        <v>157</v>
      </c>
      <c r="E57" s="48" t="s">
        <v>158</v>
      </c>
      <c r="F57" s="46" t="s">
        <v>159</v>
      </c>
      <c r="G57" s="46">
        <v>1.0</v>
      </c>
      <c r="H57" s="45">
        <v>78000.0</v>
      </c>
    </row>
    <row r="58" ht="14.25" customHeight="1">
      <c r="A58" s="48" t="s">
        <v>160</v>
      </c>
      <c r="B58" s="48" t="s">
        <v>141</v>
      </c>
      <c r="C58" s="48" t="s">
        <v>161</v>
      </c>
      <c r="D58" s="48" t="s">
        <v>162</v>
      </c>
      <c r="E58" s="54" t="s">
        <v>163</v>
      </c>
      <c r="F58" s="45">
        <v>33000.0</v>
      </c>
      <c r="G58" s="46">
        <v>1.0</v>
      </c>
      <c r="H58" s="45">
        <v>33000.0</v>
      </c>
    </row>
    <row r="59" ht="14.25" customHeight="1">
      <c r="A59" s="48" t="s">
        <v>143</v>
      </c>
      <c r="B59" s="48" t="s">
        <v>146</v>
      </c>
      <c r="C59" s="48" t="s">
        <v>164</v>
      </c>
      <c r="D59" s="48" t="s">
        <v>165</v>
      </c>
      <c r="E59" s="54" t="s">
        <v>166</v>
      </c>
      <c r="F59" s="45">
        <v>82000.0</v>
      </c>
      <c r="G59" s="46">
        <v>1.0</v>
      </c>
      <c r="H59" s="45">
        <v>82000.0</v>
      </c>
    </row>
    <row r="60" ht="14.25" customHeight="1">
      <c r="A60" s="9"/>
      <c r="B60" s="9"/>
      <c r="C60" s="9"/>
      <c r="D60" s="9"/>
      <c r="E60" s="9"/>
      <c r="F60" s="15"/>
      <c r="G60" s="55" t="s">
        <v>55</v>
      </c>
      <c r="H60" s="56">
        <f>SUM(H56:H59)</f>
        <v>273000</v>
      </c>
    </row>
    <row r="61" ht="14.25" customHeight="1">
      <c r="A61" s="9"/>
      <c r="B61" s="9"/>
      <c r="C61" s="9"/>
      <c r="D61" s="9"/>
      <c r="E61" s="9"/>
      <c r="F61" s="15"/>
      <c r="G61" s="9"/>
    </row>
    <row r="62" ht="14.25" customHeight="1">
      <c r="A62" s="15"/>
      <c r="B62" s="15"/>
      <c r="C62" s="15"/>
      <c r="D62" s="15"/>
      <c r="E62" s="15"/>
      <c r="F62" s="15"/>
      <c r="G62" s="9"/>
    </row>
    <row r="63" ht="14.25" customHeight="1">
      <c r="A63" s="15"/>
      <c r="B63" s="15"/>
      <c r="C63" s="15"/>
      <c r="D63" s="15"/>
      <c r="E63" s="15"/>
      <c r="F63" s="15"/>
      <c r="G63" s="9"/>
    </row>
    <row r="64" ht="14.25" customHeight="1">
      <c r="A64" s="9"/>
      <c r="B64" s="9"/>
      <c r="C64" s="9"/>
      <c r="D64" s="9"/>
      <c r="E64" s="9"/>
      <c r="F64" s="9"/>
      <c r="G64" s="9"/>
    </row>
    <row r="65" ht="14.25" customHeight="1">
      <c r="A65" s="9"/>
      <c r="B65" s="9"/>
      <c r="C65" s="9"/>
      <c r="D65" s="9"/>
      <c r="E65" s="9"/>
      <c r="F65" s="9"/>
      <c r="G65" s="9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C17:D17"/>
    <mergeCell ref="A21:F21"/>
    <mergeCell ref="A33:H33"/>
    <mergeCell ref="A45:F45"/>
    <mergeCell ref="A54:G54"/>
    <mergeCell ref="A1:F1"/>
    <mergeCell ref="A11:I11"/>
    <mergeCell ref="C12:D12"/>
    <mergeCell ref="C13:D13"/>
    <mergeCell ref="C14:D14"/>
    <mergeCell ref="C15:D15"/>
    <mergeCell ref="C16:D16"/>
  </mergeCells>
  <hyperlinks>
    <hyperlink r:id="rId1" ref="E56"/>
    <hyperlink r:id="rId2" ref="E58"/>
    <hyperlink r:id="rId3" ref="E59"/>
  </hyperlinks>
  <printOptions/>
  <pageMargins bottom="1.0" footer="0.0" header="0.0" left="0.75" right="0.75" top="1.0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6.71"/>
    <col customWidth="1" min="3" max="3" width="62.71"/>
    <col customWidth="1" min="4" max="4" width="49.71"/>
    <col customWidth="1" min="5" max="5" width="67.14"/>
    <col customWidth="1" min="6" max="6" width="108.71"/>
    <col customWidth="1" min="7" max="7" width="42.14"/>
    <col customWidth="1" min="8" max="8" width="15.57"/>
    <col customWidth="1" min="9" max="9" width="13.86"/>
    <col customWidth="1" min="10" max="10" width="37.29"/>
    <col customWidth="1" min="11" max="26" width="8.86"/>
  </cols>
  <sheetData>
    <row r="1" ht="14.25" customHeight="1">
      <c r="B1" s="57"/>
      <c r="C1" s="57"/>
      <c r="D1" s="57"/>
      <c r="E1" s="57"/>
      <c r="F1" s="57"/>
      <c r="G1" s="57"/>
    </row>
    <row r="2" ht="60.75" customHeight="1">
      <c r="B2" s="58" t="s">
        <v>167</v>
      </c>
      <c r="C2" s="2"/>
      <c r="D2" s="2"/>
      <c r="E2" s="2"/>
      <c r="F2" s="2"/>
      <c r="G2" s="3"/>
      <c r="H2" s="59"/>
      <c r="J2" s="59"/>
      <c r="K2" s="59"/>
      <c r="L2" s="59"/>
      <c r="M2" s="59"/>
      <c r="N2" s="59"/>
      <c r="O2" s="59"/>
      <c r="P2" s="59"/>
      <c r="Q2" s="59"/>
    </row>
    <row r="3" ht="14.25" customHeight="1">
      <c r="B3" s="22" t="s">
        <v>1</v>
      </c>
      <c r="C3" s="22" t="s">
        <v>2</v>
      </c>
      <c r="D3" s="22" t="s">
        <v>168</v>
      </c>
      <c r="E3" s="22" t="s">
        <v>4</v>
      </c>
      <c r="F3" s="22" t="s">
        <v>5</v>
      </c>
      <c r="G3" s="22" t="s">
        <v>169</v>
      </c>
    </row>
    <row r="4" ht="14.25" customHeight="1">
      <c r="B4" s="60" t="s">
        <v>7</v>
      </c>
      <c r="C4" s="60" t="s">
        <v>170</v>
      </c>
      <c r="D4" s="60" t="s">
        <v>171</v>
      </c>
      <c r="E4" s="60" t="s">
        <v>172</v>
      </c>
      <c r="F4" s="7" t="s">
        <v>173</v>
      </c>
      <c r="G4" s="61">
        <v>2000000.0</v>
      </c>
    </row>
    <row r="5" ht="14.25" customHeight="1">
      <c r="B5" s="60" t="s">
        <v>174</v>
      </c>
      <c r="C5" s="60" t="s">
        <v>175</v>
      </c>
      <c r="D5" s="60" t="s">
        <v>176</v>
      </c>
      <c r="E5" s="60" t="s">
        <v>177</v>
      </c>
      <c r="F5" s="7" t="s">
        <v>178</v>
      </c>
      <c r="G5" s="62">
        <v>4999000.0</v>
      </c>
    </row>
    <row r="6" ht="14.25" customHeight="1">
      <c r="B6" s="60" t="s">
        <v>179</v>
      </c>
      <c r="C6" s="60" t="s">
        <v>180</v>
      </c>
      <c r="D6" s="60" t="s">
        <v>181</v>
      </c>
      <c r="E6" s="60" t="s">
        <v>182</v>
      </c>
      <c r="F6" s="7" t="s">
        <v>183</v>
      </c>
      <c r="G6" s="61">
        <v>400000.0</v>
      </c>
    </row>
    <row r="7" ht="14.25" customHeight="1">
      <c r="B7" s="60" t="s">
        <v>184</v>
      </c>
      <c r="C7" s="60" t="s">
        <v>185</v>
      </c>
      <c r="D7" s="60" t="s">
        <v>186</v>
      </c>
      <c r="E7" s="60" t="s">
        <v>187</v>
      </c>
      <c r="F7" s="7" t="s">
        <v>188</v>
      </c>
      <c r="G7" s="61">
        <v>700000.0</v>
      </c>
    </row>
    <row r="8" ht="14.25" customHeight="1">
      <c r="B8" s="63" t="s">
        <v>189</v>
      </c>
      <c r="C8" s="63" t="s">
        <v>190</v>
      </c>
      <c r="D8" s="63" t="s">
        <v>191</v>
      </c>
      <c r="E8" s="63" t="s">
        <v>192</v>
      </c>
      <c r="F8" s="63" t="s">
        <v>193</v>
      </c>
      <c r="G8" s="64">
        <v>100000.0</v>
      </c>
    </row>
    <row r="9" ht="14.25" customHeight="1">
      <c r="B9" s="65" t="s">
        <v>194</v>
      </c>
      <c r="C9" s="65" t="s">
        <v>195</v>
      </c>
      <c r="D9" s="65" t="s">
        <v>196</v>
      </c>
      <c r="E9" s="66" t="s">
        <v>197</v>
      </c>
      <c r="F9" s="37" t="s">
        <v>198</v>
      </c>
      <c r="G9" s="67">
        <v>100000.0</v>
      </c>
    </row>
    <row r="10" ht="14.25" customHeight="1">
      <c r="G10" s="57"/>
    </row>
    <row r="11" ht="14.25" customHeight="1">
      <c r="A11" s="68"/>
    </row>
    <row r="12" ht="14.25" customHeight="1">
      <c r="A12" s="68"/>
    </row>
    <row r="13" ht="14.25" customHeight="1">
      <c r="A13" s="68"/>
    </row>
    <row r="14" ht="14.25" customHeight="1">
      <c r="A14" s="68"/>
    </row>
    <row r="15" ht="42.75" customHeight="1">
      <c r="A15" s="68"/>
      <c r="B15" s="69" t="s">
        <v>199</v>
      </c>
      <c r="C15" s="2"/>
      <c r="D15" s="2"/>
      <c r="E15" s="2"/>
      <c r="F15" s="2"/>
      <c r="G15" s="2"/>
      <c r="H15" s="2"/>
      <c r="I15" s="2"/>
      <c r="J15" s="3"/>
    </row>
    <row r="16" ht="28.5" customHeight="1">
      <c r="A16" s="68"/>
      <c r="B16" s="70" t="s">
        <v>1</v>
      </c>
      <c r="C16" s="70" t="s">
        <v>4</v>
      </c>
      <c r="D16" s="71" t="s">
        <v>5</v>
      </c>
      <c r="E16" s="72"/>
      <c r="F16" s="70" t="s">
        <v>200</v>
      </c>
      <c r="G16" s="73" t="s">
        <v>201</v>
      </c>
      <c r="H16" s="74" t="s">
        <v>202</v>
      </c>
      <c r="I16" s="75"/>
      <c r="J16" s="72"/>
    </row>
    <row r="17" ht="14.25" customHeight="1">
      <c r="A17" s="68"/>
      <c r="B17" s="76" t="s">
        <v>7</v>
      </c>
      <c r="C17" s="76" t="s">
        <v>172</v>
      </c>
      <c r="D17" s="38" t="s">
        <v>203</v>
      </c>
      <c r="E17" s="3"/>
      <c r="F17" s="77">
        <v>2000000.0</v>
      </c>
      <c r="G17" s="78" t="s">
        <v>204</v>
      </c>
      <c r="H17" s="79" t="s">
        <v>205</v>
      </c>
      <c r="I17" s="2"/>
      <c r="J17" s="3"/>
    </row>
    <row r="18" ht="28.5" customHeight="1">
      <c r="A18" s="68"/>
      <c r="B18" s="76" t="s">
        <v>174</v>
      </c>
      <c r="C18" s="76" t="s">
        <v>177</v>
      </c>
      <c r="D18" s="38" t="s">
        <v>206</v>
      </c>
      <c r="E18" s="3"/>
      <c r="F18" s="80">
        <v>4999000.0</v>
      </c>
      <c r="G18" s="81" t="s">
        <v>207</v>
      </c>
      <c r="H18" s="79" t="s">
        <v>208</v>
      </c>
      <c r="I18" s="2"/>
      <c r="J18" s="3"/>
    </row>
    <row r="19" ht="14.25" customHeight="1">
      <c r="B19" s="76" t="s">
        <v>179</v>
      </c>
      <c r="C19" s="76" t="s">
        <v>182</v>
      </c>
      <c r="D19" s="82" t="s">
        <v>209</v>
      </c>
      <c r="E19" s="3"/>
      <c r="F19" s="77">
        <v>400000.0</v>
      </c>
      <c r="G19" s="81" t="s">
        <v>210</v>
      </c>
      <c r="H19" s="79" t="s">
        <v>211</v>
      </c>
      <c r="I19" s="2"/>
      <c r="J19" s="3"/>
    </row>
    <row r="20" ht="14.25" customHeight="1">
      <c r="B20" s="76" t="s">
        <v>184</v>
      </c>
      <c r="C20" s="76" t="s">
        <v>187</v>
      </c>
      <c r="D20" s="82" t="s">
        <v>212</v>
      </c>
      <c r="E20" s="3"/>
      <c r="F20" s="77">
        <v>700000.0</v>
      </c>
      <c r="G20" s="78" t="s">
        <v>213</v>
      </c>
      <c r="H20" s="79" t="s">
        <v>214</v>
      </c>
      <c r="I20" s="2"/>
      <c r="J20" s="3"/>
    </row>
    <row r="21" ht="14.25" customHeight="1">
      <c r="B21" s="83" t="s">
        <v>189</v>
      </c>
      <c r="C21" s="83" t="s">
        <v>192</v>
      </c>
      <c r="D21" s="82" t="s">
        <v>215</v>
      </c>
      <c r="E21" s="3"/>
      <c r="F21" s="84">
        <v>100000.0</v>
      </c>
      <c r="G21" s="85"/>
      <c r="H21" s="79" t="s">
        <v>216</v>
      </c>
      <c r="I21" s="2"/>
      <c r="J21" s="3"/>
    </row>
    <row r="22" ht="14.25" customHeight="1">
      <c r="B22" s="76" t="s">
        <v>194</v>
      </c>
      <c r="C22" s="76" t="s">
        <v>195</v>
      </c>
      <c r="D22" s="86" t="s">
        <v>217</v>
      </c>
      <c r="E22" s="87"/>
      <c r="F22" s="77">
        <v>107900.0</v>
      </c>
      <c r="G22" s="88" t="s">
        <v>218</v>
      </c>
      <c r="H22" s="89" t="s">
        <v>219</v>
      </c>
      <c r="I22" s="2"/>
      <c r="J22" s="3"/>
    </row>
    <row r="23" ht="14.25" customHeight="1">
      <c r="G23" s="57"/>
    </row>
    <row r="24" ht="14.25" customHeight="1">
      <c r="G24" s="57"/>
    </row>
    <row r="25" ht="14.25" customHeight="1">
      <c r="G25" s="57"/>
    </row>
    <row r="26" ht="14.25" customHeight="1">
      <c r="G26" s="57"/>
    </row>
    <row r="27" ht="14.25" customHeight="1">
      <c r="B27" s="57"/>
      <c r="C27" s="57"/>
      <c r="D27" s="57"/>
      <c r="E27" s="57"/>
      <c r="F27" s="57"/>
      <c r="G27" s="57"/>
    </row>
    <row r="28" ht="14.25" customHeight="1">
      <c r="B28" s="57"/>
      <c r="C28" s="57"/>
      <c r="D28" s="57"/>
      <c r="E28" s="57"/>
      <c r="F28" s="57"/>
      <c r="G28" s="57"/>
    </row>
    <row r="29" ht="14.25" customHeight="1">
      <c r="B29" s="90" t="s">
        <v>56</v>
      </c>
      <c r="C29" s="2"/>
      <c r="D29" s="2"/>
      <c r="E29" s="2"/>
      <c r="F29" s="3"/>
      <c r="G29" s="57"/>
    </row>
    <row r="30" ht="14.25" customHeight="1">
      <c r="B30" s="91" t="s">
        <v>220</v>
      </c>
      <c r="C30" s="91" t="s">
        <v>221</v>
      </c>
      <c r="D30" s="91" t="s">
        <v>168</v>
      </c>
      <c r="E30" s="91" t="s">
        <v>222</v>
      </c>
      <c r="F30" s="91" t="s">
        <v>60</v>
      </c>
      <c r="G30" s="57"/>
    </row>
    <row r="31" ht="14.25" customHeight="1">
      <c r="B31" s="65" t="s">
        <v>223</v>
      </c>
      <c r="C31" s="65" t="s">
        <v>224</v>
      </c>
      <c r="D31" s="65" t="s">
        <v>225</v>
      </c>
      <c r="E31" s="7" t="s">
        <v>226</v>
      </c>
      <c r="F31" s="7" t="s">
        <v>227</v>
      </c>
      <c r="G31" s="57"/>
    </row>
    <row r="32" ht="14.25" customHeight="1">
      <c r="B32" s="65" t="s">
        <v>228</v>
      </c>
      <c r="C32" s="65" t="s">
        <v>229</v>
      </c>
      <c r="D32" s="65" t="s">
        <v>230</v>
      </c>
      <c r="E32" s="7" t="s">
        <v>231</v>
      </c>
      <c r="F32" s="7" t="s">
        <v>232</v>
      </c>
      <c r="G32" s="57"/>
    </row>
    <row r="33" ht="14.25" customHeight="1">
      <c r="B33" s="36" t="s">
        <v>233</v>
      </c>
      <c r="C33" s="65" t="s">
        <v>234</v>
      </c>
      <c r="D33" s="92" t="s">
        <v>64</v>
      </c>
      <c r="E33" s="93" t="s">
        <v>65</v>
      </c>
      <c r="F33" s="94" t="s">
        <v>235</v>
      </c>
      <c r="G33" s="57"/>
    </row>
    <row r="34" ht="14.25" hidden="1" customHeight="1">
      <c r="B34" s="63" t="s">
        <v>233</v>
      </c>
      <c r="C34" s="63" t="s">
        <v>236</v>
      </c>
      <c r="D34" s="63" t="s">
        <v>237</v>
      </c>
      <c r="E34" s="63" t="s">
        <v>238</v>
      </c>
      <c r="F34" s="95" t="s">
        <v>239</v>
      </c>
      <c r="G34" s="57"/>
    </row>
    <row r="35" ht="14.25" customHeight="1">
      <c r="G35" s="57"/>
    </row>
    <row r="36" ht="14.25" customHeight="1">
      <c r="B36" s="57"/>
      <c r="C36" s="57"/>
      <c r="D36" s="57"/>
      <c r="E36" s="57"/>
      <c r="F36" s="57"/>
      <c r="G36" s="57"/>
    </row>
    <row r="37" ht="14.25" customHeight="1">
      <c r="B37" s="57"/>
      <c r="C37" s="57"/>
      <c r="D37" s="57"/>
      <c r="E37" s="57"/>
      <c r="F37" s="57"/>
      <c r="G37" s="57"/>
    </row>
    <row r="38" ht="14.25" customHeight="1">
      <c r="B38" s="69" t="s">
        <v>97</v>
      </c>
      <c r="C38" s="2"/>
      <c r="D38" s="2"/>
      <c r="E38" s="2"/>
      <c r="F38" s="2"/>
      <c r="G38" s="2"/>
      <c r="H38" s="3"/>
    </row>
    <row r="39" ht="14.25" customHeight="1">
      <c r="B39" s="91" t="s">
        <v>1</v>
      </c>
      <c r="C39" s="91" t="s">
        <v>4</v>
      </c>
      <c r="D39" s="69" t="s">
        <v>5</v>
      </c>
      <c r="E39" s="3"/>
      <c r="F39" s="96" t="s">
        <v>240</v>
      </c>
      <c r="G39" s="97" t="s">
        <v>202</v>
      </c>
      <c r="H39" s="98" t="s">
        <v>241</v>
      </c>
      <c r="I39" s="99"/>
    </row>
    <row r="40" ht="14.25" customHeight="1">
      <c r="B40" s="65" t="s">
        <v>223</v>
      </c>
      <c r="C40" s="7" t="s">
        <v>226</v>
      </c>
      <c r="D40" s="100" t="s">
        <v>242</v>
      </c>
      <c r="E40" s="101"/>
      <c r="F40" s="100" t="s">
        <v>243</v>
      </c>
      <c r="G40" s="79" t="s">
        <v>244</v>
      </c>
      <c r="H40" s="98" t="s">
        <v>245</v>
      </c>
      <c r="I40" s="99"/>
    </row>
    <row r="41" ht="14.25" customHeight="1">
      <c r="B41" s="65" t="s">
        <v>228</v>
      </c>
      <c r="C41" s="7" t="s">
        <v>231</v>
      </c>
      <c r="D41" s="100" t="s">
        <v>246</v>
      </c>
      <c r="E41" s="101"/>
      <c r="F41" s="100" t="s">
        <v>243</v>
      </c>
      <c r="G41" s="79" t="s">
        <v>247</v>
      </c>
      <c r="H41" s="98" t="s">
        <v>248</v>
      </c>
      <c r="I41" s="99"/>
    </row>
    <row r="42" ht="14.25" customHeight="1">
      <c r="B42" s="65" t="s">
        <v>233</v>
      </c>
      <c r="C42" s="65" t="s">
        <v>238</v>
      </c>
      <c r="D42" s="100" t="s">
        <v>249</v>
      </c>
      <c r="E42" s="101"/>
      <c r="F42" s="100" t="s">
        <v>243</v>
      </c>
      <c r="G42" s="79" t="s">
        <v>250</v>
      </c>
      <c r="H42" s="98" t="s">
        <v>251</v>
      </c>
      <c r="I42" s="99"/>
    </row>
    <row r="43" ht="14.25" customHeight="1">
      <c r="G43" s="57"/>
    </row>
    <row r="44" ht="14.25" customHeight="1">
      <c r="B44" s="57"/>
      <c r="C44" s="57"/>
      <c r="D44" s="57"/>
      <c r="E44" s="57"/>
      <c r="F44" s="57"/>
      <c r="G44" s="57"/>
    </row>
    <row r="45" ht="14.25" customHeight="1">
      <c r="B45" s="57"/>
      <c r="C45" s="57"/>
      <c r="D45" s="57"/>
      <c r="E45" s="57"/>
      <c r="F45" s="57"/>
      <c r="G45" s="57"/>
    </row>
    <row r="46" ht="14.25" customHeight="1">
      <c r="B46" s="57"/>
      <c r="C46" s="57"/>
      <c r="D46" s="57"/>
      <c r="E46" s="57"/>
      <c r="F46" s="57"/>
      <c r="G46" s="57"/>
    </row>
    <row r="47" ht="14.25" customHeight="1">
      <c r="B47" s="57"/>
      <c r="C47" s="57"/>
      <c r="D47" s="57"/>
      <c r="E47" s="57"/>
      <c r="F47" s="57"/>
      <c r="G47" s="57"/>
    </row>
    <row r="48" ht="14.25" customHeight="1">
      <c r="B48" s="57"/>
      <c r="C48" s="57"/>
      <c r="D48" s="57"/>
      <c r="E48" s="57"/>
      <c r="F48" s="57"/>
      <c r="G48" s="57"/>
    </row>
    <row r="49" ht="14.25" customHeight="1">
      <c r="B49" s="57"/>
      <c r="C49" s="57"/>
      <c r="D49" s="57"/>
      <c r="E49" s="57"/>
      <c r="F49" s="57"/>
      <c r="G49" s="57"/>
    </row>
    <row r="50" ht="14.25" customHeight="1">
      <c r="B50" s="57"/>
      <c r="C50" s="57"/>
      <c r="D50" s="57"/>
      <c r="E50" s="57"/>
      <c r="F50" s="57"/>
      <c r="G50" s="57"/>
    </row>
    <row r="51" ht="14.25" customHeight="1">
      <c r="B51" s="57"/>
      <c r="C51" s="57"/>
      <c r="D51" s="57"/>
      <c r="E51" s="57"/>
      <c r="F51" s="57"/>
      <c r="G51" s="57"/>
    </row>
    <row r="52" ht="14.25" customHeight="1">
      <c r="B52" s="57"/>
      <c r="C52" s="57"/>
      <c r="D52" s="57"/>
      <c r="E52" s="57"/>
      <c r="F52" s="57"/>
      <c r="G52" s="57"/>
    </row>
    <row r="53" ht="14.25" customHeight="1">
      <c r="B53" s="57"/>
      <c r="C53" s="57"/>
      <c r="D53" s="57"/>
      <c r="E53" s="57"/>
      <c r="F53" s="57"/>
      <c r="G53" s="57"/>
    </row>
    <row r="54" ht="14.25" customHeight="1">
      <c r="B54" s="57"/>
      <c r="C54" s="57"/>
      <c r="D54" s="57"/>
      <c r="E54" s="57"/>
      <c r="F54" s="57"/>
      <c r="G54" s="57"/>
    </row>
    <row r="55" ht="14.25" customHeight="1">
      <c r="B55" s="57"/>
      <c r="C55" s="57"/>
      <c r="D55" s="57"/>
      <c r="E55" s="57"/>
      <c r="F55" s="57"/>
      <c r="G55" s="57"/>
    </row>
    <row r="56" ht="14.25" customHeight="1">
      <c r="B56" s="57"/>
      <c r="C56" s="57"/>
      <c r="D56" s="57"/>
      <c r="E56" s="57"/>
      <c r="F56" s="57"/>
      <c r="G56" s="57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D18:E18"/>
    <mergeCell ref="D19:E19"/>
    <mergeCell ref="D20:E20"/>
    <mergeCell ref="D21:E21"/>
    <mergeCell ref="B29:F29"/>
    <mergeCell ref="B38:H38"/>
    <mergeCell ref="D39:E39"/>
    <mergeCell ref="H19:J19"/>
    <mergeCell ref="H20:J20"/>
    <mergeCell ref="H21:J21"/>
    <mergeCell ref="H22:J22"/>
    <mergeCell ref="B2:G2"/>
    <mergeCell ref="B15:J15"/>
    <mergeCell ref="D16:E16"/>
    <mergeCell ref="H16:J16"/>
    <mergeCell ref="D17:E17"/>
    <mergeCell ref="H17:J17"/>
    <mergeCell ref="H18:J18"/>
  </mergeCells>
  <hyperlinks>
    <hyperlink r:id="rId1" ref="G17"/>
    <hyperlink r:id="rId2" ref="G18"/>
    <hyperlink r:id="rId3" ref="G19"/>
    <hyperlink r:id="rId4" ref="G20"/>
    <hyperlink r:id="rId5" ref="G22"/>
  </hyperlinks>
  <printOptions/>
  <pageMargins bottom="1.0" footer="0.0" header="0.0" left="0.75" right="0.75" top="1.0"/>
  <pageSetup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9.71"/>
    <col customWidth="1" min="3" max="3" width="20.71"/>
    <col customWidth="1" min="4" max="4" width="22.29"/>
    <col customWidth="1" min="5" max="5" width="51.14"/>
    <col customWidth="1" min="6" max="6" width="25.43"/>
    <col customWidth="1" min="7" max="7" width="22.71"/>
    <col customWidth="1" min="8" max="8" width="33.0"/>
    <col customWidth="1" min="9" max="26" width="8.86"/>
  </cols>
  <sheetData>
    <row r="1" ht="14.25" customHeight="1"/>
    <row r="2" ht="14.25" customHeight="1"/>
    <row r="3" ht="15.0" customHeight="1">
      <c r="B3" s="102" t="s">
        <v>252</v>
      </c>
      <c r="C3" s="103"/>
      <c r="D3" s="103"/>
      <c r="E3" s="103"/>
      <c r="F3" s="103"/>
      <c r="G3" s="103"/>
      <c r="H3" s="104"/>
    </row>
    <row r="4" ht="14.25" customHeight="1">
      <c r="B4" s="105"/>
      <c r="C4" s="75"/>
      <c r="D4" s="75"/>
      <c r="E4" s="75"/>
      <c r="F4" s="75"/>
      <c r="G4" s="75"/>
      <c r="H4" s="72"/>
    </row>
    <row r="5" ht="14.25" customHeight="1">
      <c r="B5" s="106" t="s">
        <v>253</v>
      </c>
      <c r="C5" s="107" t="s">
        <v>254</v>
      </c>
      <c r="D5" s="107" t="s">
        <v>255</v>
      </c>
      <c r="E5" s="107" t="s">
        <v>256</v>
      </c>
      <c r="F5" s="108" t="s">
        <v>257</v>
      </c>
      <c r="G5" s="108" t="s">
        <v>258</v>
      </c>
      <c r="H5" s="108" t="s">
        <v>259</v>
      </c>
    </row>
    <row r="6" ht="14.25" customHeight="1">
      <c r="B6" s="109" t="s">
        <v>260</v>
      </c>
      <c r="C6" s="109" t="s">
        <v>261</v>
      </c>
      <c r="D6" s="40" t="s">
        <v>262</v>
      </c>
      <c r="E6" s="37" t="s">
        <v>263</v>
      </c>
      <c r="F6" s="40" t="s">
        <v>264</v>
      </c>
      <c r="G6" s="110">
        <v>8000000.0</v>
      </c>
      <c r="H6" s="110">
        <v>4.0E7</v>
      </c>
    </row>
    <row r="7" ht="14.25" customHeight="1">
      <c r="B7" s="40" t="s">
        <v>265</v>
      </c>
      <c r="C7" s="40" t="s">
        <v>266</v>
      </c>
      <c r="D7" s="40" t="s">
        <v>267</v>
      </c>
      <c r="E7" s="37" t="s">
        <v>268</v>
      </c>
      <c r="F7" s="40" t="s">
        <v>269</v>
      </c>
      <c r="G7" s="110">
        <v>7000000.0</v>
      </c>
      <c r="H7" s="110">
        <v>3.2E7</v>
      </c>
    </row>
    <row r="8" ht="14.25" customHeight="1">
      <c r="B8" s="111" t="s">
        <v>270</v>
      </c>
      <c r="C8" s="111" t="s">
        <v>271</v>
      </c>
      <c r="D8" s="40" t="s">
        <v>272</v>
      </c>
      <c r="E8" s="37" t="s">
        <v>273</v>
      </c>
      <c r="F8" s="40" t="s">
        <v>274</v>
      </c>
      <c r="G8" s="110">
        <v>5000000.0</v>
      </c>
      <c r="H8" s="110">
        <v>1.5E7</v>
      </c>
    </row>
    <row r="9" ht="14.25" customHeight="1">
      <c r="B9" s="111" t="s">
        <v>275</v>
      </c>
      <c r="C9" s="111" t="s">
        <v>276</v>
      </c>
      <c r="D9" s="111" t="s">
        <v>277</v>
      </c>
      <c r="E9" s="37" t="s">
        <v>278</v>
      </c>
      <c r="F9" s="40" t="s">
        <v>269</v>
      </c>
      <c r="G9" s="110">
        <v>7500000.0</v>
      </c>
      <c r="H9" s="110">
        <v>3.0E7</v>
      </c>
    </row>
    <row r="10" ht="14.25" customHeight="1">
      <c r="G10" s="40" t="s">
        <v>279</v>
      </c>
      <c r="H10" s="110">
        <f>H6 + H7 + H8+H9</f>
        <v>117000000</v>
      </c>
    </row>
    <row r="11" ht="14.25" customHeight="1">
      <c r="B11" s="112"/>
      <c r="C11" s="112"/>
      <c r="D11" s="112"/>
      <c r="E11" s="112"/>
      <c r="F11" s="113"/>
    </row>
    <row r="12" ht="14.25" customHeight="1"/>
    <row r="13" ht="14.25" customHeight="1"/>
    <row r="14" ht="14.25" customHeight="1"/>
    <row r="15" ht="14.25" customHeight="1"/>
    <row r="16" ht="14.25" customHeight="1">
      <c r="C16" s="114"/>
      <c r="E16" s="114"/>
      <c r="G16" s="114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4"/>
    <mergeCell ref="C16:D16"/>
    <mergeCell ref="E16:F16"/>
    <mergeCell ref="G16:H1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5.86"/>
    <col customWidth="1" min="3" max="30" width="3.71"/>
  </cols>
  <sheetData>
    <row r="1" ht="39.0" customHeight="1">
      <c r="A1" s="115" t="s">
        <v>280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7"/>
    </row>
    <row r="2" ht="28.5" customHeight="1">
      <c r="A2" s="118" t="s">
        <v>281</v>
      </c>
      <c r="B2" s="119" t="s">
        <v>282</v>
      </c>
      <c r="C2" s="120">
        <v>2026.0</v>
      </c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21"/>
    </row>
    <row r="3" ht="18.75" customHeight="1">
      <c r="A3" s="122"/>
      <c r="B3" s="123"/>
      <c r="C3" s="124" t="s">
        <v>283</v>
      </c>
      <c r="D3" s="125"/>
      <c r="E3" s="125"/>
      <c r="F3" s="126"/>
      <c r="G3" s="127" t="s">
        <v>284</v>
      </c>
      <c r="H3" s="125"/>
      <c r="I3" s="125"/>
      <c r="J3" s="126"/>
      <c r="K3" s="128" t="s">
        <v>285</v>
      </c>
      <c r="L3" s="125"/>
      <c r="M3" s="125"/>
      <c r="N3" s="126"/>
      <c r="O3" s="129" t="s">
        <v>286</v>
      </c>
      <c r="P3" s="125"/>
      <c r="Q3" s="125"/>
      <c r="R3" s="126"/>
      <c r="S3" s="124" t="s">
        <v>287</v>
      </c>
      <c r="T3" s="125"/>
      <c r="U3" s="125"/>
      <c r="V3" s="126"/>
      <c r="W3" s="127" t="s">
        <v>288</v>
      </c>
      <c r="X3" s="125"/>
      <c r="Y3" s="125"/>
      <c r="Z3" s="126"/>
      <c r="AA3" s="130" t="s">
        <v>289</v>
      </c>
      <c r="AB3" s="125"/>
      <c r="AC3" s="125"/>
      <c r="AD3" s="126"/>
    </row>
    <row r="4" ht="18.75" customHeight="1">
      <c r="A4" s="131"/>
      <c r="B4" s="132"/>
      <c r="C4" s="133">
        <v>1.0</v>
      </c>
      <c r="D4" s="134">
        <v>2.0</v>
      </c>
      <c r="E4" s="134">
        <v>3.0</v>
      </c>
      <c r="F4" s="135">
        <v>4.0</v>
      </c>
      <c r="G4" s="136">
        <v>1.0</v>
      </c>
      <c r="H4" s="137">
        <v>2.0</v>
      </c>
      <c r="I4" s="137">
        <v>3.0</v>
      </c>
      <c r="J4" s="138">
        <v>4.0</v>
      </c>
      <c r="K4" s="139">
        <v>1.0</v>
      </c>
      <c r="L4" s="140">
        <v>2.0</v>
      </c>
      <c r="M4" s="140">
        <v>3.0</v>
      </c>
      <c r="N4" s="141">
        <v>4.0</v>
      </c>
      <c r="O4" s="142">
        <v>1.0</v>
      </c>
      <c r="P4" s="143">
        <v>2.0</v>
      </c>
      <c r="Q4" s="143">
        <v>3.0</v>
      </c>
      <c r="R4" s="144">
        <v>4.0</v>
      </c>
      <c r="S4" s="133">
        <v>1.0</v>
      </c>
      <c r="T4" s="134">
        <v>2.0</v>
      </c>
      <c r="U4" s="134">
        <v>3.0</v>
      </c>
      <c r="V4" s="135">
        <v>4.0</v>
      </c>
      <c r="W4" s="136">
        <v>1.0</v>
      </c>
      <c r="X4" s="137">
        <v>2.0</v>
      </c>
      <c r="Y4" s="137">
        <v>3.0</v>
      </c>
      <c r="Z4" s="138">
        <v>4.0</v>
      </c>
      <c r="AA4" s="145">
        <v>1.0</v>
      </c>
      <c r="AB4" s="140">
        <v>2.0</v>
      </c>
      <c r="AC4" s="140">
        <v>3.0</v>
      </c>
      <c r="AD4" s="141">
        <v>4.0</v>
      </c>
    </row>
    <row r="5" ht="24.75" customHeight="1">
      <c r="A5" s="146" t="s">
        <v>290</v>
      </c>
      <c r="B5" s="147" t="s">
        <v>291</v>
      </c>
      <c r="C5" s="148"/>
      <c r="D5" s="149"/>
      <c r="E5" s="150"/>
      <c r="F5" s="151"/>
      <c r="G5" s="148"/>
      <c r="H5" s="149"/>
      <c r="I5" s="149"/>
      <c r="J5" s="152"/>
      <c r="K5" s="148"/>
      <c r="L5" s="149"/>
      <c r="M5" s="149"/>
      <c r="N5" s="152"/>
      <c r="O5" s="148"/>
      <c r="P5" s="149"/>
      <c r="Q5" s="149"/>
      <c r="R5" s="152"/>
      <c r="S5" s="148"/>
      <c r="T5" s="149"/>
      <c r="U5" s="149"/>
      <c r="V5" s="152"/>
      <c r="W5" s="148"/>
      <c r="X5" s="149"/>
      <c r="Y5" s="149"/>
      <c r="Z5" s="152"/>
      <c r="AA5" s="153"/>
      <c r="AB5" s="149"/>
      <c r="AC5" s="149"/>
      <c r="AD5" s="152"/>
    </row>
    <row r="6" ht="24.75" customHeight="1">
      <c r="A6" s="122"/>
      <c r="B6" s="154" t="s">
        <v>292</v>
      </c>
      <c r="C6" s="155"/>
      <c r="D6" s="156"/>
      <c r="E6" s="156"/>
      <c r="F6" s="157"/>
      <c r="G6" s="158"/>
      <c r="H6" s="156"/>
      <c r="I6" s="156"/>
      <c r="J6" s="159"/>
      <c r="K6" s="155"/>
      <c r="L6" s="156"/>
      <c r="M6" s="156"/>
      <c r="N6" s="159"/>
      <c r="O6" s="155"/>
      <c r="P6" s="156"/>
      <c r="Q6" s="156"/>
      <c r="R6" s="159"/>
      <c r="S6" s="155"/>
      <c r="T6" s="156"/>
      <c r="U6" s="156"/>
      <c r="V6" s="159"/>
      <c r="W6" s="155"/>
      <c r="X6" s="156"/>
      <c r="Y6" s="156"/>
      <c r="Z6" s="159"/>
      <c r="AA6" s="160"/>
      <c r="AB6" s="156"/>
      <c r="AC6" s="156"/>
      <c r="AD6" s="159"/>
    </row>
    <row r="7" ht="24.75" customHeight="1">
      <c r="A7" s="122"/>
      <c r="B7" s="154" t="s">
        <v>293</v>
      </c>
      <c r="C7" s="161"/>
      <c r="D7" s="162"/>
      <c r="E7" s="162"/>
      <c r="F7" s="163"/>
      <c r="G7" s="164"/>
      <c r="H7" s="165"/>
      <c r="I7" s="162"/>
      <c r="J7" s="163"/>
      <c r="K7" s="161"/>
      <c r="L7" s="162"/>
      <c r="M7" s="162"/>
      <c r="N7" s="163"/>
      <c r="O7" s="161"/>
      <c r="P7" s="162"/>
      <c r="Q7" s="162"/>
      <c r="R7" s="163"/>
      <c r="S7" s="161"/>
      <c r="T7" s="156"/>
      <c r="U7" s="162"/>
      <c r="W7" s="161"/>
      <c r="X7" s="162"/>
      <c r="Y7" s="162"/>
      <c r="Z7" s="163"/>
      <c r="AA7" s="166"/>
      <c r="AB7" s="162"/>
      <c r="AC7" s="162"/>
      <c r="AD7" s="163"/>
    </row>
    <row r="8" ht="24.75" customHeight="1">
      <c r="A8" s="122"/>
      <c r="B8" s="154" t="s">
        <v>294</v>
      </c>
      <c r="C8" s="167"/>
      <c r="D8" s="168"/>
      <c r="E8" s="168"/>
      <c r="F8" s="169"/>
      <c r="G8" s="167"/>
      <c r="H8" s="170"/>
      <c r="I8" s="168"/>
      <c r="J8" s="169"/>
      <c r="K8" s="167"/>
      <c r="L8" s="168"/>
      <c r="M8" s="168"/>
      <c r="N8" s="169"/>
      <c r="O8" s="167"/>
      <c r="P8" s="168"/>
      <c r="Q8" s="168"/>
      <c r="R8" s="169"/>
      <c r="S8" s="163"/>
      <c r="T8" s="156"/>
      <c r="U8" s="168"/>
      <c r="V8" s="169"/>
      <c r="W8" s="167"/>
      <c r="X8" s="168"/>
      <c r="Y8" s="168"/>
      <c r="Z8" s="169"/>
      <c r="AA8" s="171"/>
      <c r="AB8" s="168"/>
      <c r="AC8" s="168"/>
      <c r="AD8" s="169"/>
    </row>
    <row r="9" ht="24.75" customHeight="1">
      <c r="A9" s="131"/>
      <c r="B9" s="172" t="s">
        <v>295</v>
      </c>
      <c r="C9" s="173"/>
      <c r="D9" s="174"/>
      <c r="E9" s="174"/>
      <c r="F9" s="175"/>
      <c r="G9" s="173"/>
      <c r="H9" s="174"/>
      <c r="I9" s="176"/>
      <c r="J9" s="175"/>
      <c r="K9" s="173"/>
      <c r="L9" s="174"/>
      <c r="M9" s="174"/>
      <c r="N9" s="175"/>
      <c r="O9" s="173"/>
      <c r="P9" s="174"/>
      <c r="Q9" s="174"/>
      <c r="R9" s="175"/>
      <c r="S9" s="173"/>
      <c r="T9" s="174"/>
      <c r="U9" s="174"/>
      <c r="V9" s="175"/>
      <c r="W9" s="173"/>
      <c r="X9" s="174"/>
      <c r="Y9" s="174"/>
      <c r="Z9" s="175"/>
      <c r="AA9" s="177"/>
      <c r="AB9" s="174"/>
      <c r="AC9" s="174"/>
      <c r="AD9" s="175"/>
    </row>
    <row r="10" ht="24.75" customHeight="1">
      <c r="A10" s="178" t="s">
        <v>296</v>
      </c>
      <c r="B10" s="179" t="s">
        <v>297</v>
      </c>
      <c r="C10" s="180"/>
      <c r="D10" s="181"/>
      <c r="E10" s="181"/>
      <c r="F10" s="182"/>
      <c r="G10" s="180"/>
      <c r="H10" s="181"/>
      <c r="I10" s="150"/>
      <c r="J10" s="182"/>
      <c r="K10" s="180"/>
      <c r="L10" s="181"/>
      <c r="M10" s="181"/>
      <c r="N10" s="182"/>
      <c r="O10" s="180"/>
      <c r="P10" s="181"/>
      <c r="Q10" s="181"/>
      <c r="R10" s="182"/>
      <c r="S10" s="180"/>
      <c r="T10" s="181"/>
      <c r="U10" s="181"/>
      <c r="V10" s="182"/>
      <c r="W10" s="180"/>
      <c r="X10" s="181"/>
      <c r="Y10" s="181"/>
      <c r="Z10" s="182"/>
      <c r="AA10" s="183"/>
      <c r="AB10" s="181"/>
      <c r="AC10" s="181"/>
      <c r="AD10" s="182"/>
    </row>
    <row r="11" ht="24.75" customHeight="1">
      <c r="A11" s="122"/>
      <c r="B11" s="184" t="s">
        <v>298</v>
      </c>
      <c r="C11" s="167"/>
      <c r="D11" s="168"/>
      <c r="E11" s="168"/>
      <c r="F11" s="169"/>
      <c r="G11" s="167"/>
      <c r="H11" s="168"/>
      <c r="I11" s="168"/>
      <c r="J11" s="185"/>
      <c r="K11" s="186"/>
      <c r="L11" s="168"/>
      <c r="M11" s="168"/>
      <c r="N11" s="169"/>
      <c r="O11" s="167"/>
      <c r="P11" s="168"/>
      <c r="Q11" s="168"/>
      <c r="R11" s="169"/>
      <c r="S11" s="167"/>
      <c r="T11" s="168"/>
      <c r="U11" s="168"/>
      <c r="V11" s="169"/>
      <c r="W11" s="167"/>
      <c r="X11" s="168"/>
      <c r="Y11" s="168"/>
      <c r="Z11" s="169"/>
      <c r="AA11" s="171"/>
      <c r="AB11" s="168"/>
      <c r="AC11" s="168"/>
      <c r="AD11" s="169"/>
    </row>
    <row r="12" ht="24.75" customHeight="1">
      <c r="A12" s="122"/>
      <c r="B12" s="184" t="s">
        <v>299</v>
      </c>
      <c r="C12" s="167"/>
      <c r="D12" s="168"/>
      <c r="E12" s="168"/>
      <c r="F12" s="169"/>
      <c r="G12" s="167"/>
      <c r="H12" s="168"/>
      <c r="I12" s="168"/>
      <c r="J12" s="169"/>
      <c r="K12" s="167"/>
      <c r="L12" s="170"/>
      <c r="M12" s="168"/>
      <c r="N12" s="169"/>
      <c r="O12" s="167"/>
      <c r="P12" s="168"/>
      <c r="Q12" s="168"/>
      <c r="R12" s="169"/>
      <c r="S12" s="167"/>
      <c r="T12" s="168"/>
      <c r="U12" s="168"/>
      <c r="V12" s="169"/>
      <c r="W12" s="167"/>
      <c r="X12" s="168"/>
      <c r="Y12" s="168"/>
      <c r="Z12" s="169"/>
      <c r="AA12" s="171"/>
      <c r="AB12" s="168"/>
      <c r="AC12" s="168"/>
      <c r="AD12" s="169"/>
    </row>
    <row r="13" ht="24.75" customHeight="1">
      <c r="A13" s="122"/>
      <c r="B13" s="184" t="s">
        <v>300</v>
      </c>
      <c r="C13" s="187"/>
      <c r="D13" s="188"/>
      <c r="E13" s="188"/>
      <c r="F13" s="189"/>
      <c r="G13" s="187"/>
      <c r="H13" s="188"/>
      <c r="I13" s="188"/>
      <c r="J13" s="189"/>
      <c r="K13" s="187"/>
      <c r="L13" s="190"/>
      <c r="M13" s="188"/>
      <c r="N13" s="189"/>
      <c r="O13" s="187"/>
      <c r="P13" s="188"/>
      <c r="Q13" s="188"/>
      <c r="R13" s="189"/>
      <c r="S13" s="167"/>
      <c r="T13" s="168"/>
      <c r="U13" s="168"/>
      <c r="V13" s="169"/>
      <c r="W13" s="167"/>
      <c r="X13" s="168"/>
      <c r="Y13" s="168"/>
      <c r="Z13" s="169"/>
      <c r="AA13" s="171"/>
      <c r="AB13" s="168"/>
      <c r="AC13" s="168"/>
      <c r="AD13" s="169"/>
    </row>
    <row r="14" ht="24.75" customHeight="1">
      <c r="A14" s="131"/>
      <c r="B14" s="172" t="s">
        <v>301</v>
      </c>
      <c r="C14" s="173"/>
      <c r="D14" s="174"/>
      <c r="E14" s="174"/>
      <c r="F14" s="175"/>
      <c r="G14" s="173"/>
      <c r="H14" s="174"/>
      <c r="I14" s="174"/>
      <c r="J14" s="175"/>
      <c r="K14" s="173"/>
      <c r="L14" s="174"/>
      <c r="M14" s="176"/>
      <c r="N14" s="175"/>
      <c r="O14" s="173"/>
      <c r="P14" s="174"/>
      <c r="Q14" s="174"/>
      <c r="R14" s="175"/>
      <c r="S14" s="173"/>
      <c r="T14" s="174"/>
      <c r="U14" s="174"/>
      <c r="V14" s="175"/>
      <c r="W14" s="173"/>
      <c r="X14" s="174"/>
      <c r="Y14" s="174"/>
      <c r="Z14" s="175"/>
      <c r="AA14" s="177"/>
      <c r="AB14" s="174"/>
      <c r="AC14" s="174"/>
      <c r="AD14" s="175"/>
    </row>
    <row r="15" ht="24.75" customHeight="1">
      <c r="A15" s="146" t="s">
        <v>302</v>
      </c>
      <c r="B15" s="179" t="s">
        <v>303</v>
      </c>
      <c r="C15" s="180"/>
      <c r="D15" s="181"/>
      <c r="E15" s="181"/>
      <c r="F15" s="182"/>
      <c r="G15" s="180"/>
      <c r="H15" s="181"/>
      <c r="I15" s="181"/>
      <c r="J15" s="182"/>
      <c r="K15" s="180"/>
      <c r="L15" s="181"/>
      <c r="M15" s="181"/>
      <c r="N15" s="151"/>
      <c r="O15" s="180"/>
      <c r="P15" s="181"/>
      <c r="Q15" s="181"/>
      <c r="R15" s="182"/>
      <c r="S15" s="180"/>
      <c r="T15" s="181"/>
      <c r="U15" s="181"/>
      <c r="V15" s="182"/>
      <c r="W15" s="180"/>
      <c r="X15" s="181"/>
      <c r="Y15" s="181"/>
      <c r="Z15" s="182"/>
      <c r="AA15" s="183"/>
      <c r="AB15" s="181"/>
      <c r="AC15" s="181"/>
      <c r="AD15" s="182"/>
    </row>
    <row r="16" ht="24.75" customHeight="1">
      <c r="A16" s="122"/>
      <c r="B16" s="184" t="s">
        <v>304</v>
      </c>
      <c r="C16" s="167"/>
      <c r="D16" s="168"/>
      <c r="E16" s="168"/>
      <c r="F16" s="169"/>
      <c r="G16" s="167"/>
      <c r="H16" s="168"/>
      <c r="I16" s="168"/>
      <c r="J16" s="169"/>
      <c r="K16" s="167"/>
      <c r="L16" s="168"/>
      <c r="M16" s="168"/>
      <c r="N16" s="185"/>
      <c r="O16" s="186"/>
      <c r="P16" s="168"/>
      <c r="Q16" s="168"/>
      <c r="R16" s="169"/>
      <c r="S16" s="167"/>
      <c r="T16" s="168"/>
      <c r="U16" s="168"/>
      <c r="V16" s="169"/>
      <c r="W16" s="167"/>
      <c r="X16" s="168"/>
      <c r="Y16" s="168"/>
      <c r="Z16" s="169"/>
      <c r="AA16" s="171"/>
      <c r="AB16" s="168"/>
      <c r="AC16" s="168"/>
      <c r="AD16" s="169"/>
    </row>
    <row r="17" ht="24.75" customHeight="1">
      <c r="A17" s="122"/>
      <c r="B17" s="184" t="s">
        <v>305</v>
      </c>
      <c r="C17" s="167"/>
      <c r="D17" s="168"/>
      <c r="E17" s="168"/>
      <c r="F17" s="169"/>
      <c r="G17" s="167"/>
      <c r="H17" s="168"/>
      <c r="I17" s="168"/>
      <c r="J17" s="169"/>
      <c r="K17" s="167"/>
      <c r="L17" s="168"/>
      <c r="M17" s="168"/>
      <c r="N17" s="169"/>
      <c r="O17" s="186"/>
      <c r="P17" s="168"/>
      <c r="Q17" s="168"/>
      <c r="R17" s="169"/>
      <c r="S17" s="167"/>
      <c r="T17" s="168"/>
      <c r="U17" s="168"/>
      <c r="V17" s="169"/>
      <c r="W17" s="167"/>
      <c r="X17" s="168"/>
      <c r="Y17" s="168"/>
      <c r="Z17" s="169"/>
      <c r="AA17" s="171"/>
      <c r="AB17" s="168"/>
      <c r="AC17" s="168"/>
      <c r="AD17" s="169"/>
    </row>
    <row r="18" ht="24.75" customHeight="1">
      <c r="A18" s="131"/>
      <c r="B18" s="172" t="s">
        <v>306</v>
      </c>
      <c r="C18" s="173"/>
      <c r="D18" s="174"/>
      <c r="E18" s="174"/>
      <c r="F18" s="175"/>
      <c r="G18" s="173"/>
      <c r="H18" s="174"/>
      <c r="I18" s="174"/>
      <c r="J18" s="175"/>
      <c r="K18" s="173"/>
      <c r="L18" s="174"/>
      <c r="M18" s="174"/>
      <c r="N18" s="175"/>
      <c r="O18" s="173"/>
      <c r="P18" s="176"/>
      <c r="Q18" s="174"/>
      <c r="R18" s="175"/>
      <c r="S18" s="173"/>
      <c r="T18" s="174"/>
      <c r="U18" s="174"/>
      <c r="V18" s="175"/>
      <c r="W18" s="173"/>
      <c r="X18" s="174"/>
      <c r="Y18" s="174"/>
      <c r="Z18" s="175"/>
      <c r="AA18" s="177"/>
      <c r="AB18" s="174"/>
      <c r="AC18" s="174"/>
      <c r="AD18" s="175"/>
    </row>
    <row r="19" ht="24.75" customHeight="1">
      <c r="A19" s="178" t="s">
        <v>307</v>
      </c>
      <c r="B19" s="191" t="s">
        <v>308</v>
      </c>
      <c r="C19" s="192"/>
      <c r="D19" s="193"/>
      <c r="E19" s="193"/>
      <c r="F19" s="194"/>
      <c r="G19" s="192"/>
      <c r="H19" s="193"/>
      <c r="I19" s="193"/>
      <c r="J19" s="194"/>
      <c r="K19" s="192"/>
      <c r="L19" s="193"/>
      <c r="M19" s="193"/>
      <c r="N19" s="194"/>
      <c r="O19" s="192"/>
      <c r="P19" s="195"/>
      <c r="Q19" s="193"/>
      <c r="R19" s="194"/>
      <c r="S19" s="192"/>
      <c r="T19" s="193"/>
      <c r="U19" s="193"/>
      <c r="V19" s="194"/>
      <c r="W19" s="192"/>
      <c r="X19" s="193"/>
      <c r="Y19" s="193"/>
      <c r="Z19" s="194"/>
      <c r="AA19" s="196"/>
      <c r="AB19" s="193"/>
      <c r="AC19" s="193"/>
      <c r="AD19" s="194"/>
    </row>
    <row r="20" ht="24.75" customHeight="1">
      <c r="A20" s="122"/>
      <c r="B20" s="184" t="s">
        <v>309</v>
      </c>
      <c r="C20" s="197"/>
      <c r="D20" s="198"/>
      <c r="E20" s="198"/>
      <c r="F20" s="199"/>
      <c r="G20" s="197"/>
      <c r="H20" s="198"/>
      <c r="I20" s="198"/>
      <c r="J20" s="199"/>
      <c r="K20" s="197"/>
      <c r="L20" s="198"/>
      <c r="M20" s="198"/>
      <c r="N20" s="199"/>
      <c r="O20" s="197"/>
      <c r="P20" s="200"/>
      <c r="Q20" s="200"/>
      <c r="R20" s="199"/>
      <c r="S20" s="197"/>
      <c r="T20" s="198"/>
      <c r="U20" s="198"/>
      <c r="V20" s="199"/>
      <c r="W20" s="197"/>
      <c r="X20" s="198"/>
      <c r="Y20" s="198"/>
      <c r="Z20" s="199"/>
      <c r="AA20" s="201"/>
      <c r="AB20" s="198"/>
      <c r="AC20" s="198"/>
      <c r="AD20" s="199"/>
    </row>
    <row r="21" ht="24.75" customHeight="1">
      <c r="A21" s="122"/>
      <c r="B21" s="202" t="s">
        <v>310</v>
      </c>
      <c r="C21" s="197"/>
      <c r="D21" s="198"/>
      <c r="E21" s="198"/>
      <c r="F21" s="199"/>
      <c r="G21" s="197"/>
      <c r="H21" s="198"/>
      <c r="I21" s="198"/>
      <c r="J21" s="199"/>
      <c r="K21" s="197"/>
      <c r="L21" s="198"/>
      <c r="M21" s="198"/>
      <c r="N21" s="199"/>
      <c r="O21" s="197"/>
      <c r="P21" s="198"/>
      <c r="Q21" s="200"/>
      <c r="R21" s="203"/>
      <c r="S21" s="197"/>
      <c r="T21" s="198"/>
      <c r="U21" s="198"/>
      <c r="V21" s="199"/>
      <c r="W21" s="197"/>
      <c r="X21" s="198"/>
      <c r="Y21" s="198"/>
      <c r="Z21" s="199"/>
      <c r="AA21" s="201"/>
      <c r="AB21" s="198"/>
      <c r="AC21" s="198"/>
      <c r="AD21" s="199"/>
    </row>
    <row r="22" ht="24.75" customHeight="1">
      <c r="A22" s="131"/>
      <c r="B22" s="172" t="s">
        <v>311</v>
      </c>
      <c r="C22" s="204"/>
      <c r="D22" s="205"/>
      <c r="E22" s="205"/>
      <c r="F22" s="206"/>
      <c r="G22" s="204"/>
      <c r="H22" s="205"/>
      <c r="I22" s="205"/>
      <c r="J22" s="206"/>
      <c r="K22" s="204"/>
      <c r="L22" s="205"/>
      <c r="M22" s="205"/>
      <c r="N22" s="206"/>
      <c r="O22" s="204"/>
      <c r="P22" s="205"/>
      <c r="Q22" s="205"/>
      <c r="R22" s="207"/>
      <c r="S22" s="204"/>
      <c r="T22" s="205"/>
      <c r="U22" s="205"/>
      <c r="V22" s="206"/>
      <c r="W22" s="204"/>
      <c r="X22" s="205"/>
      <c r="Y22" s="205"/>
      <c r="Z22" s="206"/>
      <c r="AA22" s="208"/>
      <c r="AB22" s="205"/>
      <c r="AC22" s="205"/>
      <c r="AD22" s="206"/>
    </row>
    <row r="23" ht="24.75" customHeight="1">
      <c r="A23" s="146" t="s">
        <v>312</v>
      </c>
      <c r="B23" s="191" t="s">
        <v>313</v>
      </c>
      <c r="C23" s="209"/>
      <c r="D23" s="210"/>
      <c r="E23" s="210"/>
      <c r="F23" s="211"/>
      <c r="G23" s="209"/>
      <c r="H23" s="210"/>
      <c r="I23" s="210"/>
      <c r="J23" s="211"/>
      <c r="K23" s="209"/>
      <c r="L23" s="210"/>
      <c r="M23" s="210"/>
      <c r="N23" s="211"/>
      <c r="O23" s="209"/>
      <c r="P23" s="210"/>
      <c r="Q23" s="210"/>
      <c r="R23" s="211"/>
      <c r="S23" s="212"/>
      <c r="T23" s="210"/>
      <c r="U23" s="210"/>
      <c r="V23" s="211"/>
      <c r="W23" s="209"/>
      <c r="X23" s="210"/>
      <c r="Y23" s="210"/>
      <c r="Z23" s="211"/>
      <c r="AA23" s="213"/>
      <c r="AB23" s="210"/>
      <c r="AC23" s="210"/>
      <c r="AD23" s="211"/>
    </row>
    <row r="24" ht="24.75" customHeight="1">
      <c r="A24" s="122"/>
      <c r="B24" s="184" t="s">
        <v>314</v>
      </c>
      <c r="C24" s="214"/>
      <c r="D24" s="36"/>
      <c r="E24" s="36"/>
      <c r="F24" s="215"/>
      <c r="G24" s="214"/>
      <c r="H24" s="36"/>
      <c r="I24" s="36"/>
      <c r="J24" s="215"/>
      <c r="K24" s="214"/>
      <c r="L24" s="36"/>
      <c r="M24" s="36"/>
      <c r="N24" s="215"/>
      <c r="O24" s="214"/>
      <c r="P24" s="36"/>
      <c r="Q24" s="36"/>
      <c r="R24" s="215"/>
      <c r="S24" s="216"/>
      <c r="T24" s="217"/>
      <c r="U24" s="36"/>
      <c r="V24" s="215"/>
      <c r="W24" s="214"/>
      <c r="X24" s="36"/>
      <c r="Y24" s="36"/>
      <c r="Z24" s="215"/>
      <c r="AA24" s="94"/>
      <c r="AB24" s="36"/>
      <c r="AC24" s="36"/>
      <c r="AD24" s="215"/>
    </row>
    <row r="25" ht="24.75" customHeight="1">
      <c r="A25" s="122"/>
      <c r="B25" s="184" t="s">
        <v>315</v>
      </c>
      <c r="C25" s="214"/>
      <c r="D25" s="36"/>
      <c r="E25" s="36"/>
      <c r="F25" s="215"/>
      <c r="G25" s="214"/>
      <c r="H25" s="36"/>
      <c r="I25" s="36"/>
      <c r="J25" s="215"/>
      <c r="K25" s="214"/>
      <c r="L25" s="36"/>
      <c r="M25" s="36"/>
      <c r="N25" s="215"/>
      <c r="O25" s="214"/>
      <c r="P25" s="36"/>
      <c r="Q25" s="36"/>
      <c r="R25" s="215"/>
      <c r="S25" s="214"/>
      <c r="T25" s="217"/>
      <c r="U25" s="36"/>
      <c r="V25" s="215"/>
      <c r="W25" s="214"/>
      <c r="X25" s="36"/>
      <c r="Y25" s="36"/>
      <c r="Z25" s="215"/>
      <c r="AA25" s="94"/>
      <c r="AB25" s="36"/>
      <c r="AC25" s="36"/>
      <c r="AD25" s="215"/>
    </row>
    <row r="26" ht="24.75" customHeight="1">
      <c r="A26" s="122"/>
      <c r="B26" s="184" t="s">
        <v>316</v>
      </c>
      <c r="C26" s="214"/>
      <c r="D26" s="36"/>
      <c r="E26" s="36"/>
      <c r="F26" s="215"/>
      <c r="G26" s="214"/>
      <c r="H26" s="36"/>
      <c r="I26" s="36"/>
      <c r="J26" s="215"/>
      <c r="K26" s="214"/>
      <c r="L26" s="36"/>
      <c r="M26" s="36"/>
      <c r="N26" s="215"/>
      <c r="O26" s="214"/>
      <c r="P26" s="36"/>
      <c r="Q26" s="36"/>
      <c r="R26" s="215"/>
      <c r="S26" s="216"/>
      <c r="T26" s="217"/>
      <c r="U26" s="217"/>
      <c r="V26" s="218"/>
      <c r="W26" s="216"/>
      <c r="X26" s="217"/>
      <c r="Y26" s="217"/>
      <c r="Z26" s="218"/>
      <c r="AA26" s="219"/>
      <c r="AB26" s="36"/>
      <c r="AC26" s="36"/>
      <c r="AD26" s="215"/>
    </row>
    <row r="27" ht="24.75" customHeight="1">
      <c r="A27" s="122"/>
      <c r="B27" s="184" t="s">
        <v>317</v>
      </c>
      <c r="C27" s="214"/>
      <c r="D27" s="36"/>
      <c r="E27" s="36"/>
      <c r="F27" s="215"/>
      <c r="G27" s="214"/>
      <c r="H27" s="36"/>
      <c r="I27" s="36"/>
      <c r="J27" s="215"/>
      <c r="K27" s="214"/>
      <c r="L27" s="36"/>
      <c r="M27" s="36"/>
      <c r="N27" s="215"/>
      <c r="O27" s="214"/>
      <c r="P27" s="36"/>
      <c r="Q27" s="36"/>
      <c r="R27" s="215"/>
      <c r="S27" s="214"/>
      <c r="T27" s="36"/>
      <c r="U27" s="36"/>
      <c r="V27" s="215"/>
      <c r="W27" s="214"/>
      <c r="X27" s="36"/>
      <c r="Y27" s="217"/>
      <c r="Z27" s="218"/>
      <c r="AA27" s="94"/>
      <c r="AB27" s="36"/>
      <c r="AC27" s="36"/>
      <c r="AD27" s="215"/>
    </row>
    <row r="28" ht="24.75" customHeight="1">
      <c r="A28" s="131"/>
      <c r="B28" s="220" t="s">
        <v>318</v>
      </c>
      <c r="C28" s="221"/>
      <c r="D28" s="222"/>
      <c r="E28" s="222"/>
      <c r="F28" s="223"/>
      <c r="G28" s="221"/>
      <c r="H28" s="222"/>
      <c r="I28" s="222"/>
      <c r="J28" s="223"/>
      <c r="K28" s="221"/>
      <c r="L28" s="222"/>
      <c r="M28" s="222"/>
      <c r="N28" s="223"/>
      <c r="O28" s="221"/>
      <c r="P28" s="222"/>
      <c r="Q28" s="222"/>
      <c r="R28" s="223"/>
      <c r="S28" s="221"/>
      <c r="T28" s="222"/>
      <c r="U28" s="222"/>
      <c r="V28" s="223"/>
      <c r="W28" s="221"/>
      <c r="X28" s="222"/>
      <c r="Y28" s="222"/>
      <c r="Z28" s="224"/>
      <c r="AA28" s="225"/>
      <c r="AB28" s="222"/>
      <c r="AC28" s="222"/>
      <c r="AD28" s="223"/>
    </row>
    <row r="29" ht="24.75" customHeight="1">
      <c r="A29" s="178" t="s">
        <v>319</v>
      </c>
      <c r="B29" s="191" t="s">
        <v>320</v>
      </c>
      <c r="C29" s="226"/>
      <c r="D29" s="227"/>
      <c r="E29" s="227"/>
      <c r="F29" s="228"/>
      <c r="G29" s="226"/>
      <c r="H29" s="227"/>
      <c r="I29" s="227"/>
      <c r="J29" s="228"/>
      <c r="K29" s="226"/>
      <c r="L29" s="227"/>
      <c r="M29" s="227"/>
      <c r="N29" s="228"/>
      <c r="O29" s="226"/>
      <c r="P29" s="227"/>
      <c r="Q29" s="227"/>
      <c r="R29" s="228"/>
      <c r="S29" s="226"/>
      <c r="T29" s="227"/>
      <c r="U29" s="227"/>
      <c r="V29" s="228"/>
      <c r="W29" s="226"/>
      <c r="X29" s="227"/>
      <c r="Y29" s="227"/>
      <c r="Z29" s="228"/>
      <c r="AA29" s="229"/>
      <c r="AB29" s="227"/>
      <c r="AC29" s="227"/>
      <c r="AD29" s="228"/>
    </row>
    <row r="30" ht="24.75" customHeight="1">
      <c r="A30" s="122"/>
      <c r="B30" s="184" t="s">
        <v>321</v>
      </c>
      <c r="C30" s="214"/>
      <c r="D30" s="36"/>
      <c r="E30" s="36"/>
      <c r="F30" s="215"/>
      <c r="G30" s="214"/>
      <c r="H30" s="36"/>
      <c r="I30" s="36"/>
      <c r="J30" s="215"/>
      <c r="K30" s="214"/>
      <c r="L30" s="36"/>
      <c r="M30" s="36"/>
      <c r="N30" s="215"/>
      <c r="O30" s="214"/>
      <c r="P30" s="36"/>
      <c r="Q30" s="36"/>
      <c r="R30" s="215"/>
      <c r="S30" s="214"/>
      <c r="T30" s="36"/>
      <c r="U30" s="36"/>
      <c r="V30" s="215"/>
      <c r="W30" s="214"/>
      <c r="X30" s="36"/>
      <c r="Y30" s="36"/>
      <c r="Z30" s="215"/>
      <c r="AA30" s="219"/>
      <c r="AB30" s="217"/>
      <c r="AC30" s="36"/>
      <c r="AD30" s="215"/>
    </row>
    <row r="31" ht="24.75" customHeight="1">
      <c r="A31" s="122"/>
      <c r="B31" s="184" t="s">
        <v>322</v>
      </c>
      <c r="C31" s="214"/>
      <c r="D31" s="36"/>
      <c r="E31" s="36"/>
      <c r="F31" s="215"/>
      <c r="G31" s="214"/>
      <c r="H31" s="36"/>
      <c r="I31" s="36"/>
      <c r="J31" s="215"/>
      <c r="K31" s="214"/>
      <c r="L31" s="36"/>
      <c r="M31" s="36"/>
      <c r="N31" s="215"/>
      <c r="O31" s="214"/>
      <c r="P31" s="36"/>
      <c r="Q31" s="36"/>
      <c r="R31" s="215"/>
      <c r="S31" s="214"/>
      <c r="T31" s="36"/>
      <c r="U31" s="36"/>
      <c r="V31" s="215"/>
      <c r="W31" s="214"/>
      <c r="X31" s="36"/>
      <c r="Y31" s="36"/>
      <c r="Z31" s="215"/>
      <c r="AA31" s="219"/>
      <c r="AB31" s="217"/>
      <c r="AC31" s="36"/>
      <c r="AD31" s="215"/>
    </row>
    <row r="32" ht="24.75" customHeight="1">
      <c r="A32" s="122"/>
      <c r="B32" s="184" t="s">
        <v>323</v>
      </c>
      <c r="C32" s="214"/>
      <c r="D32" s="36"/>
      <c r="E32" s="36"/>
      <c r="F32" s="215"/>
      <c r="G32" s="214"/>
      <c r="H32" s="36"/>
      <c r="I32" s="36"/>
      <c r="J32" s="215"/>
      <c r="K32" s="214"/>
      <c r="L32" s="36"/>
      <c r="M32" s="36"/>
      <c r="N32" s="215"/>
      <c r="O32" s="214"/>
      <c r="P32" s="36"/>
      <c r="Q32" s="36"/>
      <c r="R32" s="215"/>
      <c r="S32" s="214"/>
      <c r="T32" s="36"/>
      <c r="U32" s="36"/>
      <c r="V32" s="215"/>
      <c r="W32" s="214"/>
      <c r="X32" s="36"/>
      <c r="Y32" s="36"/>
      <c r="Z32" s="215"/>
      <c r="AA32" s="94"/>
      <c r="AB32" s="36"/>
      <c r="AC32" s="217"/>
      <c r="AD32" s="218"/>
    </row>
    <row r="33" ht="24.75" customHeight="1">
      <c r="A33" s="131"/>
      <c r="B33" s="220" t="s">
        <v>324</v>
      </c>
      <c r="C33" s="221"/>
      <c r="D33" s="222"/>
      <c r="E33" s="222"/>
      <c r="F33" s="223"/>
      <c r="G33" s="221"/>
      <c r="H33" s="222"/>
      <c r="I33" s="222"/>
      <c r="J33" s="223"/>
      <c r="K33" s="221"/>
      <c r="L33" s="222"/>
      <c r="M33" s="222"/>
      <c r="N33" s="223"/>
      <c r="O33" s="221"/>
      <c r="P33" s="222"/>
      <c r="Q33" s="222"/>
      <c r="R33" s="223"/>
      <c r="S33" s="221"/>
      <c r="T33" s="222"/>
      <c r="U33" s="222"/>
      <c r="V33" s="223"/>
      <c r="W33" s="221"/>
      <c r="X33" s="222"/>
      <c r="Y33" s="222"/>
      <c r="Z33" s="223"/>
      <c r="AA33" s="230"/>
      <c r="AB33" s="222"/>
      <c r="AC33" s="231"/>
      <c r="AD33" s="224"/>
    </row>
    <row r="34" ht="24.75" customHeight="1">
      <c r="A34" s="146" t="s">
        <v>325</v>
      </c>
      <c r="B34" s="191" t="s">
        <v>326</v>
      </c>
      <c r="C34" s="232"/>
      <c r="D34" s="233"/>
      <c r="E34" s="233"/>
      <c r="F34" s="234"/>
      <c r="G34" s="232"/>
      <c r="H34" s="233"/>
      <c r="I34" s="233"/>
      <c r="J34" s="234"/>
      <c r="K34" s="232"/>
      <c r="L34" s="233"/>
      <c r="M34" s="233"/>
      <c r="N34" s="234"/>
      <c r="O34" s="232"/>
      <c r="P34" s="233"/>
      <c r="Q34" s="233"/>
      <c r="R34" s="234"/>
      <c r="S34" s="232"/>
      <c r="T34" s="233"/>
      <c r="U34" s="233"/>
      <c r="V34" s="234"/>
      <c r="W34" s="232"/>
      <c r="X34" s="233"/>
      <c r="Y34" s="233"/>
      <c r="Z34" s="234"/>
      <c r="AA34" s="229"/>
      <c r="AB34" s="233"/>
      <c r="AC34" s="233"/>
      <c r="AD34" s="234"/>
    </row>
    <row r="35" ht="24.75" customHeight="1">
      <c r="A35" s="122"/>
      <c r="B35" s="184" t="s">
        <v>327</v>
      </c>
      <c r="C35" s="216"/>
      <c r="D35" s="217"/>
      <c r="E35" s="217"/>
      <c r="F35" s="218"/>
      <c r="G35" s="216"/>
      <c r="H35" s="217"/>
      <c r="I35" s="217"/>
      <c r="J35" s="218"/>
      <c r="K35" s="216"/>
      <c r="L35" s="217"/>
      <c r="M35" s="217"/>
      <c r="N35" s="218"/>
      <c r="O35" s="216"/>
      <c r="P35" s="217"/>
      <c r="Q35" s="217"/>
      <c r="R35" s="218"/>
      <c r="S35" s="216"/>
      <c r="T35" s="217"/>
      <c r="U35" s="217"/>
      <c r="V35" s="218"/>
      <c r="W35" s="216"/>
      <c r="X35" s="217"/>
      <c r="Y35" s="217"/>
      <c r="Z35" s="218"/>
      <c r="AA35" s="219"/>
      <c r="AB35" s="217"/>
      <c r="AC35" s="217"/>
      <c r="AD35" s="218"/>
    </row>
    <row r="36" ht="24.75" customHeight="1">
      <c r="A36" s="122"/>
      <c r="B36" s="184" t="s">
        <v>328</v>
      </c>
      <c r="C36" s="216"/>
      <c r="D36" s="217"/>
      <c r="E36" s="217"/>
      <c r="F36" s="218"/>
      <c r="G36" s="216"/>
      <c r="H36" s="217"/>
      <c r="I36" s="217"/>
      <c r="J36" s="218"/>
      <c r="K36" s="216"/>
      <c r="L36" s="217"/>
      <c r="M36" s="217"/>
      <c r="N36" s="218"/>
      <c r="O36" s="216"/>
      <c r="P36" s="217"/>
      <c r="Q36" s="217"/>
      <c r="R36" s="218"/>
      <c r="S36" s="216"/>
      <c r="T36" s="217"/>
      <c r="U36" s="217"/>
      <c r="V36" s="218"/>
      <c r="W36" s="216"/>
      <c r="X36" s="217"/>
      <c r="Y36" s="217"/>
      <c r="Z36" s="218"/>
      <c r="AA36" s="219"/>
      <c r="AB36" s="217"/>
      <c r="AC36" s="217"/>
      <c r="AD36" s="218"/>
    </row>
    <row r="37" ht="24.75" customHeight="1">
      <c r="A37" s="131"/>
      <c r="B37" s="220" t="s">
        <v>329</v>
      </c>
      <c r="C37" s="235"/>
      <c r="D37" s="231"/>
      <c r="E37" s="231"/>
      <c r="F37" s="224"/>
      <c r="G37" s="235"/>
      <c r="H37" s="231"/>
      <c r="I37" s="231"/>
      <c r="J37" s="224"/>
      <c r="K37" s="235"/>
      <c r="L37" s="231"/>
      <c r="M37" s="231"/>
      <c r="N37" s="224"/>
      <c r="O37" s="235"/>
      <c r="P37" s="231"/>
      <c r="Q37" s="231"/>
      <c r="R37" s="224"/>
      <c r="S37" s="235"/>
      <c r="T37" s="231"/>
      <c r="U37" s="231"/>
      <c r="V37" s="224"/>
      <c r="W37" s="235"/>
      <c r="X37" s="231"/>
      <c r="Y37" s="231"/>
      <c r="Z37" s="224"/>
      <c r="AA37" s="225"/>
      <c r="AB37" s="231"/>
      <c r="AC37" s="231"/>
      <c r="AD37" s="224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8">
    <mergeCell ref="W3:Z3"/>
    <mergeCell ref="AA3:AD3"/>
    <mergeCell ref="A1:AD1"/>
    <mergeCell ref="A2:A4"/>
    <mergeCell ref="B2:B4"/>
    <mergeCell ref="C2:AD2"/>
    <mergeCell ref="C3:F3"/>
    <mergeCell ref="G3:J3"/>
    <mergeCell ref="K3:N3"/>
    <mergeCell ref="A29:A33"/>
    <mergeCell ref="A34:A37"/>
    <mergeCell ref="O3:R3"/>
    <mergeCell ref="S3:V3"/>
    <mergeCell ref="A5:A9"/>
    <mergeCell ref="A10:A14"/>
    <mergeCell ref="A15:A18"/>
    <mergeCell ref="A19:A22"/>
    <mergeCell ref="A23:A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2025-08-25T15:32:28Z</dcterms:created>
  <dc:creator>openpyxl</dc:creator>
</cp:coreProperties>
</file>